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Shiva singh\Excel Work\Assignments\"/>
    </mc:Choice>
  </mc:AlternateContent>
  <xr:revisionPtr revIDLastSave="0" documentId="8_{6BFE389C-84E2-4504-B6FA-717F44DA254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KS(Sheet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G2u2SKZaFn7VnxMkDk9Y15izvT6vbvpjXG7qQviUdLQ="/>
    </ext>
  </extLst>
</workbook>
</file>

<file path=xl/calcChain.xml><?xml version="1.0" encoding="utf-8"?>
<calcChain xmlns="http://schemas.openxmlformats.org/spreadsheetml/2006/main">
  <c r="C20" i="1" l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21" i="1" l="1"/>
  <c r="G19" i="1"/>
  <c r="E20" i="1"/>
  <c r="G20" i="1"/>
</calcChain>
</file>

<file path=xl/sharedStrings.xml><?xml version="1.0" encoding="utf-8"?>
<sst xmlns="http://schemas.openxmlformats.org/spreadsheetml/2006/main" count="99" uniqueCount="66">
  <si>
    <t>AKS PVT LTD</t>
  </si>
  <si>
    <t>Employee_Id</t>
  </si>
  <si>
    <t>Employee_name</t>
  </si>
  <si>
    <t>Age</t>
  </si>
  <si>
    <t>Gender</t>
  </si>
  <si>
    <t>City</t>
  </si>
  <si>
    <t>Department</t>
  </si>
  <si>
    <t>Salary</t>
  </si>
  <si>
    <t>Joining date</t>
  </si>
  <si>
    <t>Email_Id</t>
  </si>
  <si>
    <t>Arun</t>
  </si>
  <si>
    <t>M</t>
  </si>
  <si>
    <t>Agra</t>
  </si>
  <si>
    <t>IT</t>
  </si>
  <si>
    <t>Arun@gmail.com</t>
  </si>
  <si>
    <t>Vivek</t>
  </si>
  <si>
    <t>Mumbai</t>
  </si>
  <si>
    <t>Sales</t>
  </si>
  <si>
    <t>Vivek@gamil.com</t>
  </si>
  <si>
    <t>Shivam</t>
  </si>
  <si>
    <t>Delhi</t>
  </si>
  <si>
    <t>Marketing</t>
  </si>
  <si>
    <t>Shivam@gamil.com</t>
  </si>
  <si>
    <t>Parul</t>
  </si>
  <si>
    <t>F</t>
  </si>
  <si>
    <t>Lucknow</t>
  </si>
  <si>
    <t>PD</t>
  </si>
  <si>
    <t>Parul@gamil.com</t>
  </si>
  <si>
    <t>Prem</t>
  </si>
  <si>
    <t>Gonda</t>
  </si>
  <si>
    <t>Prem@gamil.com</t>
  </si>
  <si>
    <t>Deepa</t>
  </si>
  <si>
    <t>Ayodhaya</t>
  </si>
  <si>
    <t>Deepa@gamil.com</t>
  </si>
  <si>
    <t>Adesh</t>
  </si>
  <si>
    <t>Adesh@gamil.com</t>
  </si>
  <si>
    <t>Rahul</t>
  </si>
  <si>
    <t>Rahul@gamil.com</t>
  </si>
  <si>
    <t>Sakshi</t>
  </si>
  <si>
    <t>Sakshi@gamil.com</t>
  </si>
  <si>
    <t>Shaurabh</t>
  </si>
  <si>
    <t>Shaurabh@gamil.com</t>
  </si>
  <si>
    <t>Shakit</t>
  </si>
  <si>
    <t>Shakit@gamil.com</t>
  </si>
  <si>
    <t>Shaniya</t>
  </si>
  <si>
    <t>Shaniya@gamil.com</t>
  </si>
  <si>
    <t>Shobhit</t>
  </si>
  <si>
    <t>Shobhit@gamil.com</t>
  </si>
  <si>
    <t>Vishal</t>
  </si>
  <si>
    <t>Vishal@gamil.com</t>
  </si>
  <si>
    <t>Zohan</t>
  </si>
  <si>
    <t>Zohan@gamil.com</t>
  </si>
  <si>
    <t>Total</t>
  </si>
  <si>
    <t>Count</t>
  </si>
  <si>
    <t>Average</t>
  </si>
  <si>
    <t>Max Value</t>
  </si>
  <si>
    <t>Min Value</t>
  </si>
  <si>
    <t>Applied format painter row no.07 to row no.12</t>
  </si>
  <si>
    <t>Applied format painter row no.07 to row no.18</t>
  </si>
  <si>
    <t>Applied Sum formula in salary</t>
  </si>
  <si>
    <t>Applied max value formula for salary</t>
  </si>
  <si>
    <t>Applied min value formula in salary</t>
  </si>
  <si>
    <t>Used average formula in salary</t>
  </si>
  <si>
    <t>Used count formula in C column</t>
  </si>
  <si>
    <t>Used font group</t>
  </si>
  <si>
    <t>Applied merge &amp;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</si>
</sst>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 * #,##0.00_ ;_ * \-#,##0.00_ ;_ * &quot;-&quot;??_ ;_ @_ "/>
  </numFmts>
  <fonts count="1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u/>
      <sz val="11"/>
      <color rgb="FF833C0B"/>
      <name val="Calibri"/>
    </font>
    <font>
      <b/>
      <u/>
      <sz val="11"/>
      <color rgb="FF833C0B"/>
      <name val="Calibri"/>
    </font>
    <font>
      <sz val="11"/>
      <color theme="1"/>
      <name val="Calibri"/>
    </font>
    <font>
      <u/>
      <sz val="11"/>
      <color theme="10"/>
      <name val="Calibri"/>
    </font>
    <font>
      <u/>
      <sz val="11"/>
      <color theme="10"/>
      <name val="Calibri"/>
    </font>
    <font>
      <sz val="24"/>
      <color rgb="FFE7E6E6"/>
      <name val="Algerian"/>
      <family val="5"/>
    </font>
    <font>
      <b/>
      <u/>
      <sz val="11"/>
      <color rgb="FF833C0B"/>
      <name val="Calibri"/>
      <family val="2"/>
    </font>
    <font>
      <b/>
      <sz val="11"/>
      <color theme="1" tint="4.9989318521683403E-2"/>
      <name val="Calibri"/>
      <family val="2"/>
    </font>
    <font>
      <b/>
      <u/>
      <sz val="11"/>
      <color theme="1" tint="4.9989318521683403E-2"/>
      <name val="Calibri"/>
      <family val="2"/>
    </font>
    <font>
      <sz val="11"/>
      <color theme="1" tint="4.9989318521683403E-2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D373D"/>
        <bgColor rgb="FF3D373D"/>
      </patternFill>
    </fill>
    <fill>
      <patternFill patternType="solid">
        <fgColor theme="5"/>
        <bgColor theme="5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3" fontId="4" fillId="0" borderId="2" xfId="0" applyNumberFormat="1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43" fontId="4" fillId="0" borderId="0" xfId="0" applyNumberFormat="1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3" borderId="2" xfId="0" applyFont="1" applyFill="1" applyBorder="1" applyAlignment="1">
      <alignment horizontal="center" vertical="center" wrapText="1"/>
    </xf>
    <xf numFmtId="0" fontId="1" fillId="0" borderId="0" xfId="0" applyFont="1"/>
    <xf numFmtId="0" fontId="9" fillId="0" borderId="2" xfId="0" applyFont="1" applyBorder="1" applyAlignment="1">
      <alignment horizontal="center" vertical="center"/>
    </xf>
    <xf numFmtId="43" fontId="9" fillId="0" borderId="2" xfId="0" applyNumberFormat="1" applyFont="1" applyBorder="1" applyAlignment="1">
      <alignment horizontal="center" vertical="center"/>
    </xf>
    <xf numFmtId="14" fontId="9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12" fillId="0" borderId="0" xfId="0" applyFont="1"/>
    <xf numFmtId="0" fontId="1" fillId="0" borderId="0" xfId="0" applyFont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10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AKS(Sheet)-style" pivot="0" count="3" xr9:uid="{00000000-0011-0000-FFFF-FFFF00000000}">
      <tableStyleElement type="headerRow" dxfId="9"/>
      <tableStyleElement type="firstRowStripe" dxfId="8"/>
      <tableStyleElement type="secondRowStripe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60158</xdr:colOff>
      <xdr:row>6</xdr:row>
      <xdr:rowOff>100263</xdr:rowOff>
    </xdr:from>
    <xdr:to>
      <xdr:col>10</xdr:col>
      <xdr:colOff>521369</xdr:colOff>
      <xdr:row>10</xdr:row>
      <xdr:rowOff>85224</xdr:rowOff>
    </xdr:to>
    <xdr:cxnSp macro="">
      <xdr:nvCxnSpPr>
        <xdr:cNvPr id="17" name="Connector: Elbow 16">
          <a:extLst>
            <a:ext uri="{FF2B5EF4-FFF2-40B4-BE49-F238E27FC236}">
              <a16:creationId xmlns:a16="http://schemas.microsoft.com/office/drawing/2014/main" id="{3B5B0337-2FA7-4C77-81D5-D966BF2B0FD0}"/>
            </a:ext>
          </a:extLst>
        </xdr:cNvPr>
        <xdr:cNvCxnSpPr/>
      </xdr:nvCxnSpPr>
      <xdr:spPr>
        <a:xfrm>
          <a:off x="7113671" y="1183105"/>
          <a:ext cx="1042737" cy="706856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150395</xdr:colOff>
      <xdr:row>11</xdr:row>
      <xdr:rowOff>110289</xdr:rowOff>
    </xdr:from>
    <xdr:to>
      <xdr:col>10</xdr:col>
      <xdr:colOff>541422</xdr:colOff>
      <xdr:row>15</xdr:row>
      <xdr:rowOff>95250</xdr:rowOff>
    </xdr:to>
    <xdr:cxnSp macro="">
      <xdr:nvCxnSpPr>
        <xdr:cNvPr id="23" name="Connector: Elbow 22">
          <a:extLst>
            <a:ext uri="{FF2B5EF4-FFF2-40B4-BE49-F238E27FC236}">
              <a16:creationId xmlns:a16="http://schemas.microsoft.com/office/drawing/2014/main" id="{4EAF5EF1-D344-40AD-A878-58892F0D5834}"/>
            </a:ext>
          </a:extLst>
        </xdr:cNvPr>
        <xdr:cNvCxnSpPr/>
      </xdr:nvCxnSpPr>
      <xdr:spPr>
        <a:xfrm>
          <a:off x="7203908" y="2095500"/>
          <a:ext cx="972553" cy="706855"/>
        </a:xfrm>
        <a:prstGeom prst="bentConnector3">
          <a:avLst>
            <a:gd name="adj1" fmla="val 4433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75198</xdr:colOff>
      <xdr:row>17</xdr:row>
      <xdr:rowOff>75197</xdr:rowOff>
    </xdr:from>
    <xdr:to>
      <xdr:col>10</xdr:col>
      <xdr:colOff>486277</xdr:colOff>
      <xdr:row>21</xdr:row>
      <xdr:rowOff>75197</xdr:rowOff>
    </xdr:to>
    <xdr:cxnSp macro="">
      <xdr:nvCxnSpPr>
        <xdr:cNvPr id="26" name="Connector: Elbow 25">
          <a:extLst>
            <a:ext uri="{FF2B5EF4-FFF2-40B4-BE49-F238E27FC236}">
              <a16:creationId xmlns:a16="http://schemas.microsoft.com/office/drawing/2014/main" id="{335AB3AA-7D80-4030-8E05-C9269260D4F2}"/>
            </a:ext>
          </a:extLst>
        </xdr:cNvPr>
        <xdr:cNvCxnSpPr/>
      </xdr:nvCxnSpPr>
      <xdr:spPr>
        <a:xfrm>
          <a:off x="7128711" y="3143250"/>
          <a:ext cx="992605" cy="721894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872290</xdr:colOff>
      <xdr:row>18</xdr:row>
      <xdr:rowOff>105277</xdr:rowOff>
    </xdr:from>
    <xdr:to>
      <xdr:col>7</xdr:col>
      <xdr:colOff>777040</xdr:colOff>
      <xdr:row>22</xdr:row>
      <xdr:rowOff>100263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8019C4D3-F708-44F6-BC85-822E63A4EE65}"/>
            </a:ext>
          </a:extLst>
        </xdr:cNvPr>
        <xdr:cNvCxnSpPr/>
      </xdr:nvCxnSpPr>
      <xdr:spPr>
        <a:xfrm>
          <a:off x="4988093" y="3353803"/>
          <a:ext cx="782052" cy="7168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862263</xdr:colOff>
      <xdr:row>19</xdr:row>
      <xdr:rowOff>120316</xdr:rowOff>
    </xdr:from>
    <xdr:to>
      <xdr:col>7</xdr:col>
      <xdr:colOff>762000</xdr:colOff>
      <xdr:row>23</xdr:row>
      <xdr:rowOff>95250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77FC209C-BC4E-4DF9-8BFD-315775F8454F}"/>
            </a:ext>
          </a:extLst>
        </xdr:cNvPr>
        <xdr:cNvCxnSpPr/>
      </xdr:nvCxnSpPr>
      <xdr:spPr>
        <a:xfrm>
          <a:off x="4978066" y="3549316"/>
          <a:ext cx="777039" cy="69682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842210</xdr:colOff>
      <xdr:row>20</xdr:row>
      <xdr:rowOff>125328</xdr:rowOff>
    </xdr:from>
    <xdr:to>
      <xdr:col>7</xdr:col>
      <xdr:colOff>731921</xdr:colOff>
      <xdr:row>24</xdr:row>
      <xdr:rowOff>70185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101A2671-3436-4DC7-B892-A72797D81BBD}"/>
            </a:ext>
          </a:extLst>
        </xdr:cNvPr>
        <xdr:cNvCxnSpPr/>
      </xdr:nvCxnSpPr>
      <xdr:spPr>
        <a:xfrm>
          <a:off x="4958013" y="3734802"/>
          <a:ext cx="767013" cy="66675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315829</xdr:colOff>
      <xdr:row>20</xdr:row>
      <xdr:rowOff>20052</xdr:rowOff>
    </xdr:from>
    <xdr:to>
      <xdr:col>4</xdr:col>
      <xdr:colOff>406066</xdr:colOff>
      <xdr:row>21</xdr:row>
      <xdr:rowOff>140368</xdr:rowOff>
    </xdr:to>
    <xdr:sp macro="" textlink="">
      <xdr:nvSpPr>
        <xdr:cNvPr id="41" name="Arrow: Down 40">
          <a:extLst>
            <a:ext uri="{FF2B5EF4-FFF2-40B4-BE49-F238E27FC236}">
              <a16:creationId xmlns:a16="http://schemas.microsoft.com/office/drawing/2014/main" id="{E6D5042D-34DD-4551-ACD0-B7E534E22B2A}"/>
            </a:ext>
          </a:extLst>
        </xdr:cNvPr>
        <xdr:cNvSpPr/>
      </xdr:nvSpPr>
      <xdr:spPr>
        <a:xfrm>
          <a:off x="2852487" y="3629526"/>
          <a:ext cx="90237" cy="30078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225592</xdr:colOff>
      <xdr:row>20</xdr:row>
      <xdr:rowOff>25065</xdr:rowOff>
    </xdr:from>
    <xdr:to>
      <xdr:col>2</xdr:col>
      <xdr:colOff>345908</xdr:colOff>
      <xdr:row>22</xdr:row>
      <xdr:rowOff>165434</xdr:rowOff>
    </xdr:to>
    <xdr:sp macro="" textlink="">
      <xdr:nvSpPr>
        <xdr:cNvPr id="42" name="Arrow: Down 41">
          <a:extLst>
            <a:ext uri="{FF2B5EF4-FFF2-40B4-BE49-F238E27FC236}">
              <a16:creationId xmlns:a16="http://schemas.microsoft.com/office/drawing/2014/main" id="{9F956B51-56BA-4E9F-B6A1-259B12029BAE}"/>
            </a:ext>
          </a:extLst>
        </xdr:cNvPr>
        <xdr:cNvSpPr/>
      </xdr:nvSpPr>
      <xdr:spPr>
        <a:xfrm>
          <a:off x="1599197" y="3634539"/>
          <a:ext cx="120316" cy="501316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60157</xdr:colOff>
      <xdr:row>1</xdr:row>
      <xdr:rowOff>25066</xdr:rowOff>
    </xdr:from>
    <xdr:to>
      <xdr:col>9</xdr:col>
      <xdr:colOff>491289</xdr:colOff>
      <xdr:row>1</xdr:row>
      <xdr:rowOff>140970</xdr:rowOff>
    </xdr:to>
    <xdr:sp macro="" textlink="">
      <xdr:nvSpPr>
        <xdr:cNvPr id="43" name="Arrow: Right 42">
          <a:extLst>
            <a:ext uri="{FF2B5EF4-FFF2-40B4-BE49-F238E27FC236}">
              <a16:creationId xmlns:a16="http://schemas.microsoft.com/office/drawing/2014/main" id="{0EBAF035-BF08-4C04-9412-99EF1AD45F65}"/>
            </a:ext>
          </a:extLst>
        </xdr:cNvPr>
        <xdr:cNvSpPr/>
      </xdr:nvSpPr>
      <xdr:spPr>
        <a:xfrm>
          <a:off x="7113670" y="205540"/>
          <a:ext cx="431132" cy="115904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I21">
  <tableColumns count="9">
    <tableColumn id="1" xr3:uid="{00000000-0010-0000-0000-000001000000}" name="Employee_Id"/>
    <tableColumn id="2" xr3:uid="{00000000-0010-0000-0000-000002000000}" name="Employee_name"/>
    <tableColumn id="3" xr3:uid="{00000000-0010-0000-0000-000003000000}" name="Age"/>
    <tableColumn id="4" xr3:uid="{00000000-0010-0000-0000-000004000000}" name="Gender"/>
    <tableColumn id="5" xr3:uid="{00000000-0010-0000-0000-000005000000}" name="City"/>
    <tableColumn id="6" xr3:uid="{00000000-0010-0000-0000-000006000000}" name="Department"/>
    <tableColumn id="7" xr3:uid="{00000000-0010-0000-0000-000007000000}" name="Salary"/>
    <tableColumn id="8" xr3:uid="{00000000-0010-0000-0000-000008000000}" name="Joining date"/>
    <tableColumn id="9" xr3:uid="{00000000-0010-0000-0000-000009000000}" name="Email_Id"/>
  </tableColumns>
  <tableStyleInfo name="AKS(Sheet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ahul@gamil.com" TargetMode="External"/><Relationship Id="rId13" Type="http://schemas.openxmlformats.org/officeDocument/2006/relationships/hyperlink" Target="mailto:Shobhit@gamil.com" TargetMode="External"/><Relationship Id="rId18" Type="http://schemas.openxmlformats.org/officeDocument/2006/relationships/table" Target="../tables/table1.xml"/><Relationship Id="rId3" Type="http://schemas.openxmlformats.org/officeDocument/2006/relationships/hyperlink" Target="mailto:Shivam@gamil.com" TargetMode="External"/><Relationship Id="rId7" Type="http://schemas.openxmlformats.org/officeDocument/2006/relationships/hyperlink" Target="mailto:Adesh@gamil.com" TargetMode="External"/><Relationship Id="rId12" Type="http://schemas.openxmlformats.org/officeDocument/2006/relationships/hyperlink" Target="mailto:Shaniya@gamil.com" TargetMode="External"/><Relationship Id="rId17" Type="http://schemas.openxmlformats.org/officeDocument/2006/relationships/drawing" Target="../drawings/drawing1.xml"/><Relationship Id="rId2" Type="http://schemas.openxmlformats.org/officeDocument/2006/relationships/hyperlink" Target="mailto:Vivek@gamil.com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mailto:Arun@gmail.com" TargetMode="External"/><Relationship Id="rId6" Type="http://schemas.openxmlformats.org/officeDocument/2006/relationships/hyperlink" Target="mailto:Deepa@gamil.com" TargetMode="External"/><Relationship Id="rId11" Type="http://schemas.openxmlformats.org/officeDocument/2006/relationships/hyperlink" Target="mailto:Shakit@gamil.com" TargetMode="External"/><Relationship Id="rId5" Type="http://schemas.openxmlformats.org/officeDocument/2006/relationships/hyperlink" Target="mailto:Prem@gamil.com" TargetMode="External"/><Relationship Id="rId15" Type="http://schemas.openxmlformats.org/officeDocument/2006/relationships/hyperlink" Target="mailto:Zohan@gamil.com" TargetMode="External"/><Relationship Id="rId10" Type="http://schemas.openxmlformats.org/officeDocument/2006/relationships/hyperlink" Target="mailto:Shaurabh@gamil.com" TargetMode="External"/><Relationship Id="rId4" Type="http://schemas.openxmlformats.org/officeDocument/2006/relationships/hyperlink" Target="mailto:Parul@gamil.com" TargetMode="External"/><Relationship Id="rId9" Type="http://schemas.openxmlformats.org/officeDocument/2006/relationships/hyperlink" Target="mailto:Sakshi@gamil.com" TargetMode="External"/><Relationship Id="rId14" Type="http://schemas.openxmlformats.org/officeDocument/2006/relationships/hyperlink" Target="mailto:Vishal@gam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tabSelected="1" zoomScale="105" zoomScaleNormal="105" workbookViewId="0">
      <selection activeCell="N19" sqref="N19"/>
    </sheetView>
  </sheetViews>
  <sheetFormatPr defaultColWidth="14.44140625" defaultRowHeight="15" customHeight="1" x14ac:dyDescent="0.3"/>
  <cols>
    <col min="1" max="1" width="10" customWidth="1"/>
    <col min="2" max="2" width="10.5546875" customWidth="1"/>
    <col min="3" max="4" width="8.6640625" customWidth="1"/>
    <col min="5" max="5" width="11" customWidth="1"/>
    <col min="6" max="6" width="12.6640625" customWidth="1"/>
    <col min="7" max="7" width="13.109375" customWidth="1"/>
    <col min="8" max="8" width="11.6640625" customWidth="1"/>
    <col min="9" max="9" width="19.109375" customWidth="1"/>
    <col min="10" max="26" width="8.6640625" customWidth="1"/>
  </cols>
  <sheetData>
    <row r="1" spans="1:14" ht="14.25" customHeight="1" x14ac:dyDescent="0.3">
      <c r="A1" s="22" t="s">
        <v>0</v>
      </c>
      <c r="B1" s="22"/>
      <c r="C1" s="22"/>
      <c r="D1" s="22"/>
      <c r="E1" s="22"/>
      <c r="F1" s="22"/>
      <c r="G1" s="22"/>
      <c r="H1" s="22"/>
      <c r="I1" s="22"/>
    </row>
    <row r="2" spans="1:14" ht="14.25" customHeight="1" x14ac:dyDescent="0.3">
      <c r="A2" s="23"/>
      <c r="B2" s="23"/>
      <c r="C2" s="23"/>
      <c r="D2" s="23"/>
      <c r="E2" s="23"/>
      <c r="F2" s="23"/>
      <c r="G2" s="23"/>
      <c r="H2" s="23"/>
      <c r="I2" s="23"/>
      <c r="K2" s="12" t="s">
        <v>65</v>
      </c>
    </row>
    <row r="3" spans="1:14" ht="14.25" customHeight="1" x14ac:dyDescent="0.3">
      <c r="A3" s="11" t="s">
        <v>1</v>
      </c>
      <c r="B3" s="1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3"/>
    </row>
    <row r="4" spans="1:14" ht="14.25" customHeight="1" x14ac:dyDescent="0.3">
      <c r="A4" s="4">
        <v>101</v>
      </c>
      <c r="B4" s="4" t="s">
        <v>10</v>
      </c>
      <c r="C4" s="4">
        <v>18</v>
      </c>
      <c r="D4" s="4" t="s">
        <v>11</v>
      </c>
      <c r="E4" s="4" t="s">
        <v>12</v>
      </c>
      <c r="F4" s="4" t="s">
        <v>13</v>
      </c>
      <c r="G4" s="5">
        <f t="shared" ref="G4:G18" ca="1" si="0">RANDBETWEEN(40000,90000)</f>
        <v>82038</v>
      </c>
      <c r="H4" s="6">
        <v>45545</v>
      </c>
      <c r="I4" s="7" t="s">
        <v>14</v>
      </c>
      <c r="J4" s="3"/>
    </row>
    <row r="5" spans="1:14" ht="14.25" customHeight="1" x14ac:dyDescent="0.3">
      <c r="A5" s="4">
        <v>102</v>
      </c>
      <c r="B5" s="4" t="s">
        <v>15</v>
      </c>
      <c r="C5" s="4">
        <v>19</v>
      </c>
      <c r="D5" s="4" t="s">
        <v>11</v>
      </c>
      <c r="E5" s="4" t="s">
        <v>16</v>
      </c>
      <c r="F5" s="4" t="s">
        <v>17</v>
      </c>
      <c r="G5" s="5">
        <f t="shared" ca="1" si="0"/>
        <v>86320</v>
      </c>
      <c r="H5" s="6">
        <v>45546</v>
      </c>
      <c r="I5" s="7" t="s">
        <v>18</v>
      </c>
      <c r="J5" s="3"/>
    </row>
    <row r="6" spans="1:14" ht="14.25" customHeight="1" x14ac:dyDescent="0.3">
      <c r="A6" s="4">
        <v>103</v>
      </c>
      <c r="B6" s="4" t="s">
        <v>19</v>
      </c>
      <c r="C6" s="4">
        <v>19</v>
      </c>
      <c r="D6" s="4" t="s">
        <v>11</v>
      </c>
      <c r="E6" s="4" t="s">
        <v>20</v>
      </c>
      <c r="F6" s="4" t="s">
        <v>21</v>
      </c>
      <c r="G6" s="5">
        <f t="shared" ca="1" si="0"/>
        <v>57854</v>
      </c>
      <c r="H6" s="6">
        <v>45547</v>
      </c>
      <c r="I6" s="7" t="s">
        <v>22</v>
      </c>
      <c r="J6" s="3"/>
    </row>
    <row r="7" spans="1:14" s="20" customFormat="1" ht="14.25" customHeight="1" x14ac:dyDescent="0.3">
      <c r="A7" s="13">
        <v>104</v>
      </c>
      <c r="B7" s="13" t="s">
        <v>23</v>
      </c>
      <c r="C7" s="13">
        <v>20</v>
      </c>
      <c r="D7" s="13" t="s">
        <v>24</v>
      </c>
      <c r="E7" s="13" t="s">
        <v>25</v>
      </c>
      <c r="F7" s="13" t="s">
        <v>26</v>
      </c>
      <c r="G7" s="14">
        <f t="shared" ca="1" si="0"/>
        <v>75653</v>
      </c>
      <c r="H7" s="15">
        <v>45548</v>
      </c>
      <c r="I7" s="16" t="s">
        <v>27</v>
      </c>
      <c r="J7" s="17"/>
      <c r="K7" s="18"/>
      <c r="L7" s="19"/>
      <c r="M7" s="19"/>
      <c r="N7" s="19"/>
    </row>
    <row r="8" spans="1:14" ht="14.25" customHeight="1" x14ac:dyDescent="0.3">
      <c r="A8" s="4">
        <v>105</v>
      </c>
      <c r="B8" s="4" t="s">
        <v>28</v>
      </c>
      <c r="C8" s="4">
        <v>25</v>
      </c>
      <c r="D8" s="4" t="s">
        <v>11</v>
      </c>
      <c r="E8" s="4" t="s">
        <v>29</v>
      </c>
      <c r="F8" s="4" t="s">
        <v>21</v>
      </c>
      <c r="G8" s="5">
        <f t="shared" ca="1" si="0"/>
        <v>53857</v>
      </c>
      <c r="H8" s="6">
        <v>45549</v>
      </c>
      <c r="I8" s="7" t="s">
        <v>30</v>
      </c>
      <c r="J8" s="3"/>
    </row>
    <row r="9" spans="1:14" ht="14.25" customHeight="1" x14ac:dyDescent="0.3">
      <c r="A9" s="4">
        <v>106</v>
      </c>
      <c r="B9" s="4" t="s">
        <v>31</v>
      </c>
      <c r="C9" s="4">
        <v>45</v>
      </c>
      <c r="D9" s="4" t="s">
        <v>24</v>
      </c>
      <c r="E9" s="4" t="s">
        <v>32</v>
      </c>
      <c r="F9" s="4" t="s">
        <v>13</v>
      </c>
      <c r="G9" s="5">
        <f t="shared" ca="1" si="0"/>
        <v>42970</v>
      </c>
      <c r="H9" s="6">
        <v>45550</v>
      </c>
      <c r="I9" s="7" t="s">
        <v>33</v>
      </c>
      <c r="J9" s="3"/>
    </row>
    <row r="10" spans="1:14" ht="14.25" customHeight="1" x14ac:dyDescent="0.3">
      <c r="A10" s="4">
        <v>107</v>
      </c>
      <c r="B10" s="4" t="s">
        <v>34</v>
      </c>
      <c r="C10" s="4">
        <v>35</v>
      </c>
      <c r="D10" s="4" t="s">
        <v>11</v>
      </c>
      <c r="E10" s="4" t="s">
        <v>12</v>
      </c>
      <c r="F10" s="4" t="s">
        <v>17</v>
      </c>
      <c r="G10" s="5">
        <f t="shared" ca="1" si="0"/>
        <v>75283</v>
      </c>
      <c r="H10" s="6">
        <v>45551</v>
      </c>
      <c r="I10" s="7" t="s">
        <v>35</v>
      </c>
      <c r="J10" s="3"/>
    </row>
    <row r="11" spans="1:14" ht="14.25" customHeight="1" x14ac:dyDescent="0.3">
      <c r="A11" s="4">
        <v>108</v>
      </c>
      <c r="B11" s="4" t="s">
        <v>36</v>
      </c>
      <c r="C11" s="4">
        <v>25</v>
      </c>
      <c r="D11" s="4" t="s">
        <v>11</v>
      </c>
      <c r="E11" s="4" t="s">
        <v>20</v>
      </c>
      <c r="F11" s="4" t="s">
        <v>21</v>
      </c>
      <c r="G11" s="5">
        <f t="shared" ca="1" si="0"/>
        <v>76764</v>
      </c>
      <c r="H11" s="6">
        <v>45552</v>
      </c>
      <c r="I11" s="7" t="s">
        <v>37</v>
      </c>
      <c r="J11" s="3"/>
      <c r="M11" s="21" t="s">
        <v>64</v>
      </c>
    </row>
    <row r="12" spans="1:14" s="20" customFormat="1" ht="14.25" customHeight="1" x14ac:dyDescent="0.3">
      <c r="A12" s="13">
        <v>109</v>
      </c>
      <c r="B12" s="13" t="s">
        <v>38</v>
      </c>
      <c r="C12" s="13">
        <v>24</v>
      </c>
      <c r="D12" s="13" t="s">
        <v>24</v>
      </c>
      <c r="E12" s="13" t="s">
        <v>25</v>
      </c>
      <c r="F12" s="13" t="s">
        <v>26</v>
      </c>
      <c r="G12" s="14">
        <f t="shared" ca="1" si="0"/>
        <v>65637</v>
      </c>
      <c r="H12" s="15">
        <v>45553</v>
      </c>
      <c r="I12" s="16" t="s">
        <v>39</v>
      </c>
      <c r="J12" s="17"/>
      <c r="K12" s="18"/>
      <c r="L12" s="19"/>
      <c r="M12" s="19"/>
      <c r="N12" s="19"/>
    </row>
    <row r="13" spans="1:14" ht="14.25" customHeight="1" x14ac:dyDescent="0.3">
      <c r="A13" s="4">
        <v>110</v>
      </c>
      <c r="B13" s="4" t="s">
        <v>40</v>
      </c>
      <c r="C13" s="4">
        <v>26</v>
      </c>
      <c r="D13" s="4" t="s">
        <v>11</v>
      </c>
      <c r="E13" s="4" t="s">
        <v>32</v>
      </c>
      <c r="F13" s="4" t="s">
        <v>21</v>
      </c>
      <c r="G13" s="5">
        <f t="shared" ca="1" si="0"/>
        <v>61309</v>
      </c>
      <c r="H13" s="6">
        <v>45554</v>
      </c>
      <c r="I13" s="7" t="s">
        <v>41</v>
      </c>
      <c r="J13" s="3"/>
    </row>
    <row r="14" spans="1:14" ht="14.25" customHeight="1" x14ac:dyDescent="0.3">
      <c r="A14" s="4">
        <v>111</v>
      </c>
      <c r="B14" s="4" t="s">
        <v>42</v>
      </c>
      <c r="C14" s="4">
        <v>34</v>
      </c>
      <c r="D14" s="4" t="s">
        <v>24</v>
      </c>
      <c r="E14" s="4" t="s">
        <v>20</v>
      </c>
      <c r="F14" s="4" t="s">
        <v>17</v>
      </c>
      <c r="G14" s="5">
        <f t="shared" ca="1" si="0"/>
        <v>88669</v>
      </c>
      <c r="H14" s="6">
        <v>45555</v>
      </c>
      <c r="I14" s="7" t="s">
        <v>43</v>
      </c>
      <c r="J14" s="3"/>
    </row>
    <row r="15" spans="1:14" ht="14.25" customHeight="1" x14ac:dyDescent="0.3">
      <c r="A15" s="4">
        <v>112</v>
      </c>
      <c r="B15" s="4" t="s">
        <v>44</v>
      </c>
      <c r="C15" s="4">
        <v>28</v>
      </c>
      <c r="D15" s="4" t="s">
        <v>24</v>
      </c>
      <c r="E15" s="4" t="s">
        <v>16</v>
      </c>
      <c r="F15" s="4" t="s">
        <v>13</v>
      </c>
      <c r="G15" s="5">
        <f t="shared" ca="1" si="0"/>
        <v>85522</v>
      </c>
      <c r="H15" s="6">
        <v>45556</v>
      </c>
      <c r="I15" s="7" t="s">
        <v>45</v>
      </c>
      <c r="J15" s="3"/>
    </row>
    <row r="16" spans="1:14" ht="14.25" customHeight="1" x14ac:dyDescent="0.3">
      <c r="A16" s="4">
        <v>113</v>
      </c>
      <c r="B16" s="4" t="s">
        <v>46</v>
      </c>
      <c r="C16" s="4">
        <v>24</v>
      </c>
      <c r="D16" s="4" t="s">
        <v>11</v>
      </c>
      <c r="E16" s="4" t="s">
        <v>12</v>
      </c>
      <c r="F16" s="4" t="s">
        <v>17</v>
      </c>
      <c r="G16" s="5">
        <f t="shared" ca="1" si="0"/>
        <v>58658</v>
      </c>
      <c r="H16" s="6">
        <v>45557</v>
      </c>
      <c r="I16" s="7" t="s">
        <v>47</v>
      </c>
      <c r="J16" s="3"/>
      <c r="L16" s="12" t="s">
        <v>57</v>
      </c>
    </row>
    <row r="17" spans="1:14" ht="14.25" customHeight="1" x14ac:dyDescent="0.3">
      <c r="A17" s="4">
        <v>114</v>
      </c>
      <c r="B17" s="4" t="s">
        <v>48</v>
      </c>
      <c r="C17" s="4">
        <v>25</v>
      </c>
      <c r="D17" s="4" t="s">
        <v>11</v>
      </c>
      <c r="E17" s="4" t="s">
        <v>29</v>
      </c>
      <c r="F17" s="4" t="s">
        <v>21</v>
      </c>
      <c r="G17" s="5">
        <f t="shared" ca="1" si="0"/>
        <v>43929</v>
      </c>
      <c r="H17" s="6">
        <v>45558</v>
      </c>
      <c r="I17" s="7" t="s">
        <v>49</v>
      </c>
      <c r="J17" s="3"/>
    </row>
    <row r="18" spans="1:14" s="20" customFormat="1" ht="14.25" customHeight="1" x14ac:dyDescent="0.3">
      <c r="A18" s="13">
        <v>115</v>
      </c>
      <c r="B18" s="13" t="s">
        <v>50</v>
      </c>
      <c r="C18" s="13">
        <v>31</v>
      </c>
      <c r="D18" s="13" t="s">
        <v>11</v>
      </c>
      <c r="E18" s="13" t="s">
        <v>32</v>
      </c>
      <c r="F18" s="13" t="s">
        <v>26</v>
      </c>
      <c r="G18" s="14">
        <f t="shared" ca="1" si="0"/>
        <v>40752</v>
      </c>
      <c r="H18" s="15">
        <v>45559</v>
      </c>
      <c r="I18" s="16" t="s">
        <v>51</v>
      </c>
      <c r="J18" s="17"/>
      <c r="K18" s="18"/>
      <c r="L18" s="19"/>
      <c r="M18" s="19"/>
      <c r="N18" s="19"/>
    </row>
    <row r="19" spans="1:14" ht="14.25" customHeight="1" x14ac:dyDescent="0.3">
      <c r="A19" s="3"/>
      <c r="B19" s="3"/>
      <c r="C19" s="3"/>
      <c r="D19" s="3"/>
      <c r="E19" s="3"/>
      <c r="F19" s="3" t="s">
        <v>52</v>
      </c>
      <c r="G19" s="8">
        <f ca="1">SUM(G4:G18)</f>
        <v>995215</v>
      </c>
      <c r="H19" s="9"/>
      <c r="I19" s="10"/>
    </row>
    <row r="20" spans="1:14" ht="14.25" customHeight="1" x14ac:dyDescent="0.3">
      <c r="A20" s="3"/>
      <c r="B20" s="3" t="s">
        <v>53</v>
      </c>
      <c r="C20" s="3">
        <f>COUNT(C3:C18)</f>
        <v>15</v>
      </c>
      <c r="D20" s="3" t="s">
        <v>54</v>
      </c>
      <c r="E20" s="8">
        <f ca="1">AVERAGE(G4:G18)</f>
        <v>66347.666666666672</v>
      </c>
      <c r="F20" s="3" t="s">
        <v>55</v>
      </c>
      <c r="G20" s="8">
        <f ca="1">MAX(G4:G18)</f>
        <v>88669</v>
      </c>
      <c r="H20" s="9"/>
      <c r="I20" s="10"/>
    </row>
    <row r="21" spans="1:14" ht="14.25" customHeight="1" x14ac:dyDescent="0.3">
      <c r="A21" s="3"/>
      <c r="B21" s="3"/>
      <c r="C21" s="3"/>
      <c r="D21" s="3"/>
      <c r="E21" s="3"/>
      <c r="F21" s="3" t="s">
        <v>56</v>
      </c>
      <c r="G21" s="8">
        <f ca="1">MIN(G4:G18)</f>
        <v>40752</v>
      </c>
      <c r="H21" s="9"/>
      <c r="I21" s="10"/>
    </row>
    <row r="22" spans="1:14" ht="14.25" customHeight="1" x14ac:dyDescent="0.3">
      <c r="L22" s="12" t="s">
        <v>58</v>
      </c>
    </row>
    <row r="23" spans="1:14" ht="14.25" customHeight="1" x14ac:dyDescent="0.3">
      <c r="E23" s="12" t="s">
        <v>62</v>
      </c>
      <c r="I23" s="12" t="s">
        <v>59</v>
      </c>
    </row>
    <row r="24" spans="1:14" ht="14.25" customHeight="1" x14ac:dyDescent="0.3">
      <c r="B24" s="12" t="s">
        <v>63</v>
      </c>
      <c r="I24" s="12" t="s">
        <v>60</v>
      </c>
    </row>
    <row r="25" spans="1:14" ht="14.25" customHeight="1" x14ac:dyDescent="0.3">
      <c r="I25" s="12" t="s">
        <v>61</v>
      </c>
    </row>
    <row r="26" spans="1:14" ht="14.25" customHeight="1" x14ac:dyDescent="0.3"/>
    <row r="27" spans="1:14" ht="14.25" customHeight="1" x14ac:dyDescent="0.3"/>
    <row r="28" spans="1:14" ht="14.25" customHeight="1" x14ac:dyDescent="0.3"/>
    <row r="29" spans="1:14" ht="14.25" customHeight="1" x14ac:dyDescent="0.3"/>
    <row r="30" spans="1:14" ht="14.25" customHeight="1" x14ac:dyDescent="0.3"/>
    <row r="31" spans="1:14" ht="14.25" customHeight="1" x14ac:dyDescent="0.3"/>
    <row r="32" spans="1:14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">
    <mergeCell ref="A1:I2"/>
  </mergeCells>
  <conditionalFormatting sqref="B4:B21">
    <cfRule type="containsText" dxfId="6" priority="7" operator="containsText" text="Zohan">
      <formula>NOT(ISERROR(SEARCH(("Zohan"),(B4))))</formula>
    </cfRule>
  </conditionalFormatting>
  <conditionalFormatting sqref="C4:C21">
    <cfRule type="cellIs" dxfId="5" priority="1" operator="greaterThan">
      <formula>31.5</formula>
    </cfRule>
  </conditionalFormatting>
  <conditionalFormatting sqref="D4:D21">
    <cfRule type="containsText" dxfId="4" priority="2" operator="containsText" text="F">
      <formula>NOT(ISERROR(SEARCH(("F"),(D4))))</formula>
    </cfRule>
  </conditionalFormatting>
  <conditionalFormatting sqref="E4:E21">
    <cfRule type="containsText" dxfId="3" priority="3" operator="containsText" text="Agra">
      <formula>NOT(ISERROR(SEARCH(("Agra"),(E4))))</formula>
    </cfRule>
  </conditionalFormatting>
  <conditionalFormatting sqref="F4:F21">
    <cfRule type="containsText" dxfId="2" priority="4" operator="containsText" text="Marketing">
      <formula>NOT(ISERROR(SEARCH(("Marketing"),(F4))))</formula>
    </cfRule>
  </conditionalFormatting>
  <conditionalFormatting sqref="G4:G21">
    <cfRule type="cellIs" dxfId="1" priority="5" operator="greaterThan">
      <formula>75000</formula>
    </cfRule>
  </conditionalFormatting>
  <conditionalFormatting sqref="H4:H21">
    <cfRule type="cellIs" dxfId="0" priority="6" operator="between">
      <formula>45554</formula>
      <formula>45558</formula>
    </cfRule>
  </conditionalFormatting>
  <hyperlinks>
    <hyperlink ref="I4" r:id="rId1" xr:uid="{00000000-0004-0000-0000-000000000000}"/>
    <hyperlink ref="I5" r:id="rId2" xr:uid="{00000000-0004-0000-0000-000001000000}"/>
    <hyperlink ref="I6" r:id="rId3" xr:uid="{00000000-0004-0000-0000-000002000000}"/>
    <hyperlink ref="I7" r:id="rId4" xr:uid="{00000000-0004-0000-0000-000003000000}"/>
    <hyperlink ref="I8" r:id="rId5" xr:uid="{00000000-0004-0000-0000-000004000000}"/>
    <hyperlink ref="I9" r:id="rId6" xr:uid="{00000000-0004-0000-0000-000005000000}"/>
    <hyperlink ref="I10" r:id="rId7" xr:uid="{00000000-0004-0000-0000-000006000000}"/>
    <hyperlink ref="I11" r:id="rId8" xr:uid="{00000000-0004-0000-0000-000007000000}"/>
    <hyperlink ref="I12" r:id="rId9" xr:uid="{00000000-0004-0000-0000-000008000000}"/>
    <hyperlink ref="I13" r:id="rId10" xr:uid="{00000000-0004-0000-0000-000009000000}"/>
    <hyperlink ref="I14" r:id="rId11" xr:uid="{00000000-0004-0000-0000-00000A000000}"/>
    <hyperlink ref="I15" r:id="rId12" xr:uid="{00000000-0004-0000-0000-00000B000000}"/>
    <hyperlink ref="I16" r:id="rId13" xr:uid="{00000000-0004-0000-0000-00000C000000}"/>
    <hyperlink ref="I17" r:id="rId14" xr:uid="{00000000-0004-0000-0000-00000D000000}"/>
    <hyperlink ref="I18" r:id="rId15" xr:uid="{00000000-0004-0000-0000-00000E000000}"/>
  </hyperlinks>
  <pageMargins left="0.7" right="0.7" top="0.75" bottom="0.75" header="0" footer="0"/>
  <pageSetup orientation="landscape" r:id="rId16"/>
  <drawing r:id="rId17"/>
  <tableParts count="1">
    <tablePart r:id="rId1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AKS(Sheet)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Satyendra singh</dc:creator>
  <cp:lastModifiedBy>Adesh Kumar Singh</cp:lastModifiedBy>
  <dcterms:created xsi:type="dcterms:W3CDTF">2025-09-10T17:59:41Z</dcterms:created>
  <dcterms:modified xsi:type="dcterms:W3CDTF">2025-11-12T18:51:01Z</dcterms:modified>
</cp:coreProperties>
</file>