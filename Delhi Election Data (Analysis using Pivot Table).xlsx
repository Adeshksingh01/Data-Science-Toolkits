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hiva singh\Excel Work\Assignments\"/>
    </mc:Choice>
  </mc:AlternateContent>
  <xr:revisionPtr revIDLastSave="0" documentId="8_{1607525A-71F7-4CDF-8E9B-D7164E4674A7}" xr6:coauthVersionLast="47" xr6:coauthVersionMax="47" xr10:uidLastSave="{00000000-0000-0000-0000-000000000000}"/>
  <bookViews>
    <workbookView xWindow="-108" yWindow="-108" windowWidth="23256" windowHeight="13176" xr2:uid="{2FF614EC-0042-4161-A847-1A8FD38E0762}"/>
  </bookViews>
  <sheets>
    <sheet name="Raw Data of Delhi Election." sheetId="1" r:id="rId1"/>
    <sheet name="Pivot Table (01)" sheetId="5" r:id="rId2"/>
    <sheet name="Pivot Table (02)" sheetId="3" r:id="rId3"/>
    <sheet name="Pivot Table (03)" sheetId="4" r:id="rId4"/>
    <sheet name="Pivot Table (04)" sheetId="7" r:id="rId5"/>
  </sheets>
  <definedNames>
    <definedName name="Slicer_Constituency">#N/A</definedName>
    <definedName name="Slicer_Constituency_W.No.">#N/A</definedName>
    <definedName name="Slicer_Constituency1">#N/A</definedName>
    <definedName name="Slicer_Party">#N/A</definedName>
    <definedName name="Slicer_S.N.">#N/A</definedName>
    <definedName name="Slicer_S.N.1">#N/A</definedName>
    <definedName name="Slicer_S.N.2">#N/A</definedName>
    <definedName name="Slicer_S.N.3">#N/A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 l="1"/>
  <c r="L6" i="1"/>
  <c r="L7" i="1"/>
  <c r="L8" i="1"/>
  <c r="L9" i="1"/>
  <c r="L10" i="1"/>
  <c r="L11" i="1"/>
  <c r="L12" i="1"/>
  <c r="L13" i="1"/>
  <c r="L14" i="1"/>
  <c r="L15" i="1"/>
  <c r="L16" i="1"/>
  <c r="L17" i="1"/>
  <c r="L18" i="1"/>
  <c r="L19" i="1"/>
  <c r="L20" i="1"/>
  <c r="L21" i="1"/>
  <c r="L22" i="1"/>
  <c r="L23" i="1"/>
  <c r="L24" i="1"/>
  <c r="L25" i="1"/>
  <c r="L26" i="1"/>
  <c r="M5" i="1"/>
  <c r="M6" i="1"/>
  <c r="M7" i="1"/>
  <c r="M8" i="1"/>
  <c r="M9" i="1"/>
  <c r="M10" i="1"/>
  <c r="M11" i="1"/>
  <c r="M12" i="1"/>
  <c r="M13" i="1"/>
  <c r="M14" i="1"/>
  <c r="M15" i="1"/>
  <c r="M16" i="1"/>
  <c r="M17" i="1"/>
  <c r="M18" i="1"/>
  <c r="M19" i="1"/>
  <c r="M20" i="1"/>
  <c r="M21" i="1"/>
  <c r="M22" i="1"/>
  <c r="M23" i="1"/>
  <c r="M24" i="1"/>
  <c r="M25" i="1"/>
  <c r="M26" i="1"/>
  <c r="L4" i="1"/>
  <c r="M4" i="1"/>
  <c r="N5" i="1"/>
  <c r="N6" i="1"/>
  <c r="N7" i="1"/>
  <c r="N8" i="1"/>
  <c r="N9" i="1"/>
  <c r="N10" i="1"/>
  <c r="N11" i="1"/>
  <c r="N12" i="1"/>
  <c r="N13" i="1"/>
  <c r="N14" i="1"/>
  <c r="N15" i="1"/>
  <c r="N16" i="1"/>
  <c r="N17" i="1"/>
  <c r="N18" i="1"/>
  <c r="N19" i="1"/>
  <c r="N20" i="1"/>
  <c r="N21" i="1"/>
  <c r="N22" i="1"/>
  <c r="N23" i="1"/>
  <c r="N24" i="1"/>
  <c r="N25" i="1"/>
  <c r="N26" i="1"/>
  <c r="N4" i="1"/>
</calcChain>
</file>

<file path=xl/sharedStrings.xml><?xml version="1.0" encoding="utf-8"?>
<sst xmlns="http://schemas.openxmlformats.org/spreadsheetml/2006/main" count="4560" uniqueCount="798">
  <si>
    <t>S.N.</t>
  </si>
  <si>
    <t>Candidate</t>
  </si>
  <si>
    <t>Party</t>
  </si>
  <si>
    <t>EVM Votes</t>
  </si>
  <si>
    <t>Postal Votes</t>
  </si>
  <si>
    <t>Total Votes</t>
  </si>
  <si>
    <t>perecentage of Votes</t>
  </si>
  <si>
    <t>Constituency</t>
  </si>
  <si>
    <t>ARUNA</t>
  </si>
  <si>
    <t>Indian National Congress</t>
  </si>
  <si>
    <t>RAJ KARAN KHATRI</t>
  </si>
  <si>
    <t>SHARAD KUMAR</t>
  </si>
  <si>
    <t>Aam Aadmi Party</t>
  </si>
  <si>
    <t>ANIL KUMAR SINGH</t>
  </si>
  <si>
    <t>Communist Party of India  (Marxist-Leninist)  (Liberation)</t>
  </si>
  <si>
    <t>MD KHALID</t>
  </si>
  <si>
    <t>Aazad Samaj Party (Kanshi Ram)</t>
  </si>
  <si>
    <t>BUDIYA</t>
  </si>
  <si>
    <t>Independent</t>
  </si>
  <si>
    <t>VIKAS BHARDWAJ</t>
  </si>
  <si>
    <t>NOTA</t>
  </si>
  <si>
    <t>None of the Above</t>
  </si>
  <si>
    <t>GANGA RAM</t>
  </si>
  <si>
    <t>Bahujan Samaj Party</t>
  </si>
  <si>
    <t>MANGESH TYAGI</t>
  </si>
  <si>
    <t>SANJEEV JHA</t>
  </si>
  <si>
    <t>ANIL KAPOOR</t>
  </si>
  <si>
    <t>Janhit Dal</t>
  </si>
  <si>
    <t>ABHISHEK KUMAR SINGH (MASTER JI)</t>
  </si>
  <si>
    <t>Rashtriya Janshakti Party (Secular)</t>
  </si>
  <si>
    <t>GULAB SINGHAL</t>
  </si>
  <si>
    <t>Bhim Sena</t>
  </si>
  <si>
    <t>DHURVA KUMAR</t>
  </si>
  <si>
    <t>Right to Recall Party</t>
  </si>
  <si>
    <t>PRAMOD</t>
  </si>
  <si>
    <t>Sarvodaya Prabhat Party</t>
  </si>
  <si>
    <t>MUKESH PRASAD</t>
  </si>
  <si>
    <t>Bhartiya Janta Dal (Integrated)</t>
  </si>
  <si>
    <t>RATAN TYAGI</t>
  </si>
  <si>
    <t>Nationalist Congress Party</t>
  </si>
  <si>
    <t>VIJAY KUMAR JHA</t>
  </si>
  <si>
    <t>Rachnatmak Jan Morcha</t>
  </si>
  <si>
    <t>SHAILENDRA KUMAR</t>
  </si>
  <si>
    <t>Janata Dal  (United)</t>
  </si>
  <si>
    <t>SUNIL KUMAR VYATHIT</t>
  </si>
  <si>
    <t>Aam Aadmi Sangharsh Party (S)</t>
  </si>
  <si>
    <t>SONU KAUSHIK</t>
  </si>
  <si>
    <t>Aapki Apni Party (Peoples)</t>
  </si>
  <si>
    <t>LOKENDRA KALYAN SINGH</t>
  </si>
  <si>
    <t>SURINDER PAL SINGH (BITTOO)</t>
  </si>
  <si>
    <t>SURENDER PAL</t>
  </si>
  <si>
    <t>SURYA PRAKASH KHATRI</t>
  </si>
  <si>
    <t>TARUN KUMAR</t>
  </si>
  <si>
    <t>Republican Sena</t>
  </si>
  <si>
    <t>DEEPAK CHAWLA</t>
  </si>
  <si>
    <t>Republican Party of India (Athawale)</t>
  </si>
  <si>
    <t>BIJENDER KUMAR</t>
  </si>
  <si>
    <t>Jan Samuh Party</t>
  </si>
  <si>
    <t>RAKESH RANJAN SHRIVASTAV</t>
  </si>
  <si>
    <t>RAJKUMAR BHARTI</t>
  </si>
  <si>
    <t>Peoples Party of India (Democratic)</t>
  </si>
  <si>
    <t>RAM RAJ SINGH</t>
  </si>
  <si>
    <t>WASIM AKRAM</t>
  </si>
  <si>
    <t>Indian National Socialistic Action Forces</t>
  </si>
  <si>
    <t>SANGH PRIYA SIDDHARTHA</t>
  </si>
  <si>
    <t>ABDUL ZABBAR</t>
  </si>
  <si>
    <t>MUKESH KUMAR GOEL</t>
  </si>
  <si>
    <t>RAJ KUMAR BHATIA</t>
  </si>
  <si>
    <t>SHIVANK SINGAL</t>
  </si>
  <si>
    <t>PRIYA</t>
  </si>
  <si>
    <t>Aam Janmat Party,</t>
  </si>
  <si>
    <t>PREM CHAND</t>
  </si>
  <si>
    <t>Rashtrawadi Janlok Party (Satya)</t>
  </si>
  <si>
    <t>MD: RAHMAT ALI</t>
  </si>
  <si>
    <t>Navarang Congress Party</t>
  </si>
  <si>
    <t>VISHAL SINGH</t>
  </si>
  <si>
    <t>National Youth Party</t>
  </si>
  <si>
    <t>SANJAY YADAV ADVOCATE</t>
  </si>
  <si>
    <t>SANJEEV KUMAR RANA</t>
  </si>
  <si>
    <t>Communist Party of India</t>
  </si>
  <si>
    <t>AYUSH GUPTA</t>
  </si>
  <si>
    <t>NEETU SINGH</t>
  </si>
  <si>
    <t>RAM NIWAS</t>
  </si>
  <si>
    <t>VIJAY KR. AGGARWAL</t>
  </si>
  <si>
    <t>AJESH YADAV</t>
  </si>
  <si>
    <t>AAHIR DEEPAK CHAUDHARYY</t>
  </si>
  <si>
    <t>DEVENDER YADAV</t>
  </si>
  <si>
    <t>RAVINDER KUMAR</t>
  </si>
  <si>
    <t>GOPAL KUMAR SINHA</t>
  </si>
  <si>
    <t>Bharatiya Sampuran Krantikari Party</t>
  </si>
  <si>
    <t>PARMOD KUMAR</t>
  </si>
  <si>
    <t>Socialist Unity Centre Of India (COMMUNIST)</t>
  </si>
  <si>
    <t>MULAYAM SINGH</t>
  </si>
  <si>
    <t>RAJENDER</t>
  </si>
  <si>
    <t>R. C. SHARMA</t>
  </si>
  <si>
    <t>ARUN KUMAR</t>
  </si>
  <si>
    <t>JAI PAL</t>
  </si>
  <si>
    <t>DEVENDER KUMAR YADAV</t>
  </si>
  <si>
    <t>KULWANT RANA</t>
  </si>
  <si>
    <t>NEYAZ KHAN</t>
  </si>
  <si>
    <t>MOHINDER GOYAL</t>
  </si>
  <si>
    <t>SUSHANT MISHRA</t>
  </si>
  <si>
    <t>ASHOK JAIN</t>
  </si>
  <si>
    <t>Yuva Bharat Rashtraseva Party</t>
  </si>
  <si>
    <t>AYASHA KHATOON</t>
  </si>
  <si>
    <t>JITANDER SINGH</t>
  </si>
  <si>
    <t>Asankhya Samaj Party</t>
  </si>
  <si>
    <t>NISHTHA</t>
  </si>
  <si>
    <t>Jai Maha Bharath Party</t>
  </si>
  <si>
    <t>AJAY KUMAR SINGH</t>
  </si>
  <si>
    <t>VIDYA PATTI</t>
  </si>
  <si>
    <t>VISHAL GUPTA</t>
  </si>
  <si>
    <t>JAI BHAGWAN UPKAR</t>
  </si>
  <si>
    <t>RAVINDER INDRAJ SINGH</t>
  </si>
  <si>
    <t>SURENDER KUMAR</t>
  </si>
  <si>
    <t>HEERA LAL</t>
  </si>
  <si>
    <t>DHEERAJ KUMAR</t>
  </si>
  <si>
    <t>BABITA</t>
  </si>
  <si>
    <t>HARI KISHAN MECHANIC</t>
  </si>
  <si>
    <t>GAJENDER DRALL</t>
  </si>
  <si>
    <t>JASBIR KARALA</t>
  </si>
  <si>
    <t>DHARAMPAL LAKRA</t>
  </si>
  <si>
    <t>SUMAN LATA SEHRAWAT</t>
  </si>
  <si>
    <t>MAHAVIR</t>
  </si>
  <si>
    <t>All India Forward Bloc</t>
  </si>
  <si>
    <t>YOGENDER SINGH ALIAS YOGI MATHUR</t>
  </si>
  <si>
    <t>Akhil Bharatiya Socialist Party</t>
  </si>
  <si>
    <t>SUNIL KUMAR</t>
  </si>
  <si>
    <t>National Loktantrik Party</t>
  </si>
  <si>
    <t>SANJAYA KUMAR YADAV</t>
  </si>
  <si>
    <t>SANTOSH</t>
  </si>
  <si>
    <t>ANDEEP DRALL</t>
  </si>
  <si>
    <t>RAJNI</t>
  </si>
  <si>
    <t>RAMBIR SHOKEEN</t>
  </si>
  <si>
    <t>SUNITA SHEKHAR CHAWARIYA</t>
  </si>
  <si>
    <t>ANIL JHA</t>
  </si>
  <si>
    <t>JUGBIR SINGH</t>
  </si>
  <si>
    <t>BAJRANG SHUKLA</t>
  </si>
  <si>
    <t>RAJESH KUMAR GUPTA</t>
  </si>
  <si>
    <t>AFSANA SARWAR</t>
  </si>
  <si>
    <t>Peace Party</t>
  </si>
  <si>
    <t>MALIK NEYAZ AHMAD</t>
  </si>
  <si>
    <t>SUDESH SHARMA</t>
  </si>
  <si>
    <t>Rashtriya Manav Party</t>
  </si>
  <si>
    <t>PRAKASH SRIVASTAV</t>
  </si>
  <si>
    <t>RAKESH</t>
  </si>
  <si>
    <t>KARAM SINGH KARMA</t>
  </si>
  <si>
    <t>JAI KISHAN</t>
  </si>
  <si>
    <t>MUKESH KUMAR AHLAWAT</t>
  </si>
  <si>
    <t>KARAN SINGH</t>
  </si>
  <si>
    <t>Swaraj Bhartiya Nyay Party</t>
  </si>
  <si>
    <t>JITENDER</t>
  </si>
  <si>
    <t>PREETI</t>
  </si>
  <si>
    <t>BABU LAL</t>
  </si>
  <si>
    <t>LAXMI</t>
  </si>
  <si>
    <t>SANGEETA</t>
  </si>
  <si>
    <t>Rashtriya Lok Sevak Party</t>
  </si>
  <si>
    <t>DEEPAK KUMAR</t>
  </si>
  <si>
    <t>RAMSWAROOP SAMRIA</t>
  </si>
  <si>
    <t>MANOJ KUMAR SHOKEEN</t>
  </si>
  <si>
    <t>MUKESH KUMAR</t>
  </si>
  <si>
    <t>RAGHUVINDER SHOKEEN</t>
  </si>
  <si>
    <t>ROHIT CHOUDHARY</t>
  </si>
  <si>
    <t>KANCHAN SHARMA</t>
  </si>
  <si>
    <t>MAHENDER SINGH RATHOR</t>
  </si>
  <si>
    <t>YATENDER SHARMA</t>
  </si>
  <si>
    <t>Azad Adhikar Sena</t>
  </si>
  <si>
    <t>RAM SAJIVAN</t>
  </si>
  <si>
    <t>DILIP KUMAR SHARMA</t>
  </si>
  <si>
    <t>DHARAM RAKSHAK ALIAS RAKESH JATAV</t>
  </si>
  <si>
    <t>RAJ KUMAR CHAUHAN</t>
  </si>
  <si>
    <t>HANUMAN SAHAY ALIAS HANUMAN CHAUHAN</t>
  </si>
  <si>
    <t>KHILKHILAKAR</t>
  </si>
  <si>
    <t>Bahujan Shoshit Samaj Sangharsh Samta Party</t>
  </si>
  <si>
    <t>JAI BHAGWAN</t>
  </si>
  <si>
    <t>PARDEEP MITTAL</t>
  </si>
  <si>
    <t>VIJENDER GUPTA</t>
  </si>
  <si>
    <t>SUMESH GUPTA</t>
  </si>
  <si>
    <t>HARSHAD CHADHA</t>
  </si>
  <si>
    <t>ABHISHEK</t>
  </si>
  <si>
    <t>AMIT SAINI</t>
  </si>
  <si>
    <t>NARENDER SINGH PANWAR</t>
  </si>
  <si>
    <t>RAJBIR</t>
  </si>
  <si>
    <t>PARVEEN KUMAR JAIN</t>
  </si>
  <si>
    <t>BANDANA KUMARI</t>
  </si>
  <si>
    <t>REKHA GUPTA</t>
  </si>
  <si>
    <t>SHYAM KUMAR</t>
  </si>
  <si>
    <t>RANJEET VERMA</t>
  </si>
  <si>
    <t>New India United Party</t>
  </si>
  <si>
    <t>MOHD. USMAN</t>
  </si>
  <si>
    <t>RAJESH KUMAR</t>
  </si>
  <si>
    <t>RINA DEVI</t>
  </si>
  <si>
    <t>SAURABH GUPTA</t>
  </si>
  <si>
    <t>KARNAIL SINGH</t>
  </si>
  <si>
    <t>SATISH KUMAR LUTHRA</t>
  </si>
  <si>
    <t>SATYENDAR JAIN</t>
  </si>
  <si>
    <t>VIJAY KUMAR</t>
  </si>
  <si>
    <t>TAMANA</t>
  </si>
  <si>
    <t>RAJESH GUPTA</t>
  </si>
  <si>
    <t>Bharat Lok Sewak Party</t>
  </si>
  <si>
    <t>JUGAL CHAWLA</t>
  </si>
  <si>
    <t>TILAK RAM GUPTA</t>
  </si>
  <si>
    <t>PAWAN GARG</t>
  </si>
  <si>
    <t>PREETI JITENDER TOMAR</t>
  </si>
  <si>
    <t>SATENDER SHARMA</t>
  </si>
  <si>
    <t>SUBHASH</t>
  </si>
  <si>
    <t>SURENDRA SINGH BASOYA</t>
  </si>
  <si>
    <t>POONAM SHARMA</t>
  </si>
  <si>
    <t>RAGINI NAYAK</t>
  </si>
  <si>
    <t>HIRA LAL</t>
  </si>
  <si>
    <t>DEVENDER KUMAR</t>
  </si>
  <si>
    <t>MAHESH BANSAL</t>
  </si>
  <si>
    <t>SHEELA DEVI</t>
  </si>
  <si>
    <t>Garib Ekta Party</t>
  </si>
  <si>
    <t>AAKASH GOEL</t>
  </si>
  <si>
    <t>MUKESH JAIN</t>
  </si>
  <si>
    <t>AKHILESH PATI TRIPATHI</t>
  </si>
  <si>
    <t>ASHOK GOEL</t>
  </si>
  <si>
    <t>KANWAR KARAN SINGH</t>
  </si>
  <si>
    <t>CHUNNI LAL</t>
  </si>
  <si>
    <t>AWDHESH KUMAR JHA</t>
  </si>
  <si>
    <t>PANKAJ KUMAR</t>
  </si>
  <si>
    <t>Rashtravadi Janata Party</t>
  </si>
  <si>
    <t>VIVEK GIRI</t>
  </si>
  <si>
    <t>CHANDER PAL</t>
  </si>
  <si>
    <t>ROMAN RASHID</t>
  </si>
  <si>
    <t>ANIL BHARDWAJ</t>
  </si>
  <si>
    <t>MANOJ KUMAR JINDAL</t>
  </si>
  <si>
    <t>SHAIL KUMARI</t>
  </si>
  <si>
    <t>SOM DUTT</t>
  </si>
  <si>
    <t>ANITA BANSAL</t>
  </si>
  <si>
    <t>ASHA RANI</t>
  </si>
  <si>
    <t>UMESH RATHOR</t>
  </si>
  <si>
    <t>Atulya Bharat Party</t>
  </si>
  <si>
    <t>MADHU BALA</t>
  </si>
  <si>
    <t>MEENAKSHI KUMARI</t>
  </si>
  <si>
    <t>Bharatiya Liberal Party</t>
  </si>
  <si>
    <t>LAXMI THAKUR SINGHAL</t>
  </si>
  <si>
    <t>Abhinav Bharat Party</t>
  </si>
  <si>
    <t>CA SOHARSH GULGULIA JAIN</t>
  </si>
  <si>
    <t>Jantantrik Samta Party</t>
  </si>
  <si>
    <t>KALI CHARAN</t>
  </si>
  <si>
    <t>PUNARDEEP SINGH SAWHNEY (SABBY)</t>
  </si>
  <si>
    <t>MUDIT AGARWAL</t>
  </si>
  <si>
    <t>SATISH JAIN</t>
  </si>
  <si>
    <t>KHALID UR REHMAN</t>
  </si>
  <si>
    <t>MOHAMMAD MURSALEEN</t>
  </si>
  <si>
    <t>RAHUL TIWARI</t>
  </si>
  <si>
    <t>AALEY MOHAMMED IQBAL</t>
  </si>
  <si>
    <t>ASIM AHMED KHAN</t>
  </si>
  <si>
    <t>TEJ RAM</t>
  </si>
  <si>
    <t>DEEPTI INDORA</t>
  </si>
  <si>
    <t>MOHD JAVED</t>
  </si>
  <si>
    <t>AMAR NATH</t>
  </si>
  <si>
    <t>ZAINUDDIN</t>
  </si>
  <si>
    <t>FIRDOUS AHMAD</t>
  </si>
  <si>
    <t>BHAGWAN DASS</t>
  </si>
  <si>
    <t>MOHAMMAD AHMED SAIFI</t>
  </si>
  <si>
    <t>MOAZAM KHAN</t>
  </si>
  <si>
    <t>IMRAN HUSSAIN</t>
  </si>
  <si>
    <t>KAMAL BAGRI</t>
  </si>
  <si>
    <t>SONU</t>
  </si>
  <si>
    <t>HAROON YUSUF</t>
  </si>
  <si>
    <t>ABRAR</t>
  </si>
  <si>
    <t>Aam Aadmi Parivartan Party</t>
  </si>
  <si>
    <t>MD HAROON</t>
  </si>
  <si>
    <t>MOHD. SHADAB</t>
  </si>
  <si>
    <t>HANSA</t>
  </si>
  <si>
    <t>DUSHYANT GAUTAM</t>
  </si>
  <si>
    <t>RAHUL KUMAR</t>
  </si>
  <si>
    <t>RANJEET</t>
  </si>
  <si>
    <t>VISHESH RAVI</t>
  </si>
  <si>
    <t>SHIV KUMAR</t>
  </si>
  <si>
    <t>Rashtriya Aikta Manch Party</t>
  </si>
  <si>
    <t>KRISHNA TIRATH</t>
  </si>
  <si>
    <t>PRAVESH RATN</t>
  </si>
  <si>
    <t>RAAJ KUMAR ANAND</t>
  </si>
  <si>
    <t>RAM AVTAR</t>
  </si>
  <si>
    <t>ASHOK KUMAR</t>
  </si>
  <si>
    <t>AVINASH GUPTA</t>
  </si>
  <si>
    <t>RAJENDER SINGH</t>
  </si>
  <si>
    <t>SHIVCHARAN GOEL</t>
  </si>
  <si>
    <t>HARISH KHURANA</t>
  </si>
  <si>
    <t>GOURAV BOTHRA</t>
  </si>
  <si>
    <t>MAHESH DUBEY</t>
  </si>
  <si>
    <t>VIJAY KUMAR SHARMA</t>
  </si>
  <si>
    <t>VISHAL SAHNI</t>
  </si>
  <si>
    <t>Voters Party  International</t>
  </si>
  <si>
    <t>SANAULLAH</t>
  </si>
  <si>
    <t>GAURI SHANKAR</t>
  </si>
  <si>
    <t>SADRE ALAM</t>
  </si>
  <si>
    <t>HARISH</t>
  </si>
  <si>
    <t>KAILASH GANGWAL</t>
  </si>
  <si>
    <t>J. P. PANWAR</t>
  </si>
  <si>
    <t>RAKHI BIRLA</t>
  </si>
  <si>
    <t>ROOP SINGH AHIRWAR</t>
  </si>
  <si>
    <t>RANDHIR KUMAR</t>
  </si>
  <si>
    <t>RANDHIR SINGH TANDI</t>
  </si>
  <si>
    <t>ROHIT KASHYAP</t>
  </si>
  <si>
    <t>Hamara Sahi Vikalp Party</t>
  </si>
  <si>
    <t>DHARAMVEER</t>
  </si>
  <si>
    <t>RAVI</t>
  </si>
  <si>
    <t>A DHANWATI CHANDELA A</t>
  </si>
  <si>
    <t>DHARAM PAL CHANDELA</t>
  </si>
  <si>
    <t>MANJINDER SINGH SIRSA</t>
  </si>
  <si>
    <t>SHASHI PABHA</t>
  </si>
  <si>
    <t>KAMLA DEVI</t>
  </si>
  <si>
    <t>KARAN TALWAR</t>
  </si>
  <si>
    <t>JAYA RAMAN</t>
  </si>
  <si>
    <t>Sanjhi Virasat Party</t>
  </si>
  <si>
    <t>VISHAL SANGWAN</t>
  </si>
  <si>
    <t>PREM BALLABH</t>
  </si>
  <si>
    <t>BINDU KUMAR</t>
  </si>
  <si>
    <t>SHYAM SHARMA</t>
  </si>
  <si>
    <t>SURINDER KUMAR SETIA</t>
  </si>
  <si>
    <t>PREETAM CHAND</t>
  </si>
  <si>
    <t>MOHAN LAL BHARDWAJ</t>
  </si>
  <si>
    <t>Bharatheeya Jawan Kisan Party</t>
  </si>
  <si>
    <t>MAYANK MEHTA</t>
  </si>
  <si>
    <t>RAJ KUMARI DHILLON</t>
  </si>
  <si>
    <t>SABIR KHAN</t>
  </si>
  <si>
    <t>ASHOK KUMAR GAUTAM</t>
  </si>
  <si>
    <t>JARNAIL SINGH</t>
  </si>
  <si>
    <t>PARVINDER SINGH ALIAS P S BAWA</t>
  </si>
  <si>
    <t>SHVETA SAINI</t>
  </si>
  <si>
    <t>RAJIV KUMAR BABBAR</t>
  </si>
  <si>
    <t>SHWETA</t>
  </si>
  <si>
    <t>ASHISH SOOD</t>
  </si>
  <si>
    <t>PARVEEN KUMAR</t>
  </si>
  <si>
    <t>RAVI PARTAP RAO</t>
  </si>
  <si>
    <t>HARBANI KAUR</t>
  </si>
  <si>
    <t>KASHMIR CHAND</t>
  </si>
  <si>
    <t>Buland Bharat Party</t>
  </si>
  <si>
    <t>CHAMAN LAL VERMA</t>
  </si>
  <si>
    <t>Aam Janshakti Party</t>
  </si>
  <si>
    <t>DHARAM VEER</t>
  </si>
  <si>
    <t>Suheldev Bharatiya Samaj Party</t>
  </si>
  <si>
    <t>MD NAVEEN</t>
  </si>
  <si>
    <t>NIZAMUDDIN KHAN</t>
  </si>
  <si>
    <t>Adarshwaadi Congress Party</t>
  </si>
  <si>
    <t>MOHD OJER</t>
  </si>
  <si>
    <t>RAJ KUMAR</t>
  </si>
  <si>
    <t>All India National Raksha Sena</t>
  </si>
  <si>
    <t>ALTAF AHMAD</t>
  </si>
  <si>
    <t>TARUN KUMAR SHARMA</t>
  </si>
  <si>
    <t>PRAVEEN KUMAR</t>
  </si>
  <si>
    <t>KRISHNA THAKUR</t>
  </si>
  <si>
    <t>JITENDER SOLANKI</t>
  </si>
  <si>
    <t>PANKAJ KUMAR SINGH</t>
  </si>
  <si>
    <t>MAHINDER YADAV</t>
  </si>
  <si>
    <t>UMESH CHAUHAN</t>
  </si>
  <si>
    <t>PREM PAL SINGH</t>
  </si>
  <si>
    <t>RAJU RICHARIYA</t>
  </si>
  <si>
    <t>Rashtriya Rashtrawadi Party</t>
  </si>
  <si>
    <t>RANJEET KUMAR</t>
  </si>
  <si>
    <t>LALA RAM</t>
  </si>
  <si>
    <t>Bhartiya Panchsheel Party</t>
  </si>
  <si>
    <t>SHARDA DIXIT</t>
  </si>
  <si>
    <t>SHEJO VARGHESE</t>
  </si>
  <si>
    <t>AMAN SAINI</t>
  </si>
  <si>
    <t>HIRA LAL SAH</t>
  </si>
  <si>
    <t>PAWAN SHARMA</t>
  </si>
  <si>
    <t>POSH BALYAN</t>
  </si>
  <si>
    <t>MANI RAM</t>
  </si>
  <si>
    <t>MUKESH SHARMA</t>
  </si>
  <si>
    <t>DUSHYANT THAKUR</t>
  </si>
  <si>
    <t>RAJIV BHRIGUKUMAR</t>
  </si>
  <si>
    <t>Rashtriya Lok Janshakti Party</t>
  </si>
  <si>
    <t>SHYAM BABU</t>
  </si>
  <si>
    <t>Gareeb Aadmi Party</t>
  </si>
  <si>
    <t>DINESH KUMAR SAH</t>
  </si>
  <si>
    <t>JOURNALIST RAMESH KUMAR JAIN @ NIRBHIK</t>
  </si>
  <si>
    <t>ADARSH SHASTRI</t>
  </si>
  <si>
    <t>PARDEEP KUMAR</t>
  </si>
  <si>
    <t>PARDUYMN SINGH RAJPUT</t>
  </si>
  <si>
    <t>VINAY MISHRA</t>
  </si>
  <si>
    <t>ARAVENDRA KUMAR</t>
  </si>
  <si>
    <t>G. THULASEEDHARAN</t>
  </si>
  <si>
    <t>Peoples Green Party</t>
  </si>
  <si>
    <t>MEHAR CHARAN</t>
  </si>
  <si>
    <t>Samaj Vikas Kranti Party</t>
  </si>
  <si>
    <t>YOGESH SWAMI</t>
  </si>
  <si>
    <t>RAJNEESH KUMAR JHA</t>
  </si>
  <si>
    <t>RAVI RATHORE</t>
  </si>
  <si>
    <t>RAMESHWAR MAHTO</t>
  </si>
  <si>
    <t>ASHOK JINDAL</t>
  </si>
  <si>
    <t>GAUTAM SINGH BIHARI</t>
  </si>
  <si>
    <t>KAMLESH KUMAR</t>
  </si>
  <si>
    <t>RAGHVINDER SINGH</t>
  </si>
  <si>
    <t>SUMESH SHOKEEN</t>
  </si>
  <si>
    <t>SANDEEP SEHRAWAT</t>
  </si>
  <si>
    <t>ARVIND KUMAR PANDEY</t>
  </si>
  <si>
    <t>NIRAJ KUMAR</t>
  </si>
  <si>
    <t>PRABHAT KUMAR</t>
  </si>
  <si>
    <t>One Bharat Citizen Party</t>
  </si>
  <si>
    <t>MOHINDER SINGH</t>
  </si>
  <si>
    <t>YOGESH KUMAR SHARMA</t>
  </si>
  <si>
    <t>VINOD KUMAR CHAUHAN</t>
  </si>
  <si>
    <t>PUNAM PANDEY</t>
  </si>
  <si>
    <t>YOGESH KUMAR</t>
  </si>
  <si>
    <t>RAJNI SHARMA</t>
  </si>
  <si>
    <t>NEELAM PAHALWAN</t>
  </si>
  <si>
    <t>ROHIT</t>
  </si>
  <si>
    <t>SUSHMA DEVI YADAV</t>
  </si>
  <si>
    <t>JALANDHAR PANDIT</t>
  </si>
  <si>
    <t>Proutist Bloc, India</t>
  </si>
  <si>
    <t>BHARAT SINGH</t>
  </si>
  <si>
    <t>MANOJ KUMAR</t>
  </si>
  <si>
    <t>MANGE RAM SANGWAN</t>
  </si>
  <si>
    <t>KAMAL SINGH</t>
  </si>
  <si>
    <t>KAILASH GAHLOT</t>
  </si>
  <si>
    <t>COL DEVINDER KUMAR SEHRAWAT</t>
  </si>
  <si>
    <t>SURENDER BHARDWAJ</t>
  </si>
  <si>
    <t>NARENDER SINGH</t>
  </si>
  <si>
    <t>NAVEEN KUMAR</t>
  </si>
  <si>
    <t>Rashtravadi Loktantrik Party (India)</t>
  </si>
  <si>
    <t>LALITA TRIVEDI</t>
  </si>
  <si>
    <t>Bhartiya Krishak Dal</t>
  </si>
  <si>
    <t>AMRINA</t>
  </si>
  <si>
    <t>NISHANT SEHRAWAT</t>
  </si>
  <si>
    <t>MONIS KURESHI</t>
  </si>
  <si>
    <t>SOM DUTT SHARMA</t>
  </si>
  <si>
    <t>KULDEEP SOLANKI</t>
  </si>
  <si>
    <t>GEETA</t>
  </si>
  <si>
    <t>JOGINDER SOLANKI</t>
  </si>
  <si>
    <t>MANGE RAM</t>
  </si>
  <si>
    <t>DILIP KUMAR</t>
  </si>
  <si>
    <t>MANU GAUTAM</t>
  </si>
  <si>
    <t>PRASHANT CHAUHAN</t>
  </si>
  <si>
    <t>NAMIT KUMAR GAUTAM</t>
  </si>
  <si>
    <t>PRADEEP KUMAR UPMANYU</t>
  </si>
  <si>
    <t>BHUVAN TANWAR</t>
  </si>
  <si>
    <t>VIRENDER SINGH KADIAN</t>
  </si>
  <si>
    <t>SACHIN</t>
  </si>
  <si>
    <t>ASHOK AGYANI</t>
  </si>
  <si>
    <t>UMANG BAJAJ</t>
  </si>
  <si>
    <t>DURGESH PATHAK</t>
  </si>
  <si>
    <t>VINEET YADAV</t>
  </si>
  <si>
    <t>SHIV PRASAD VERMA</t>
  </si>
  <si>
    <t>PANKAJ JAGYA</t>
  </si>
  <si>
    <t>PRAVEEN KUMAR BHARTI</t>
  </si>
  <si>
    <t>UMANG</t>
  </si>
  <si>
    <t>ARVIND KEJRIWAL</t>
  </si>
  <si>
    <t>PARVESH SAHIB SINGH</t>
  </si>
  <si>
    <t>VIRENDER</t>
  </si>
  <si>
    <t>SANDEEP DIKSHIT</t>
  </si>
  <si>
    <t>ARUN KUMAR SHARMA</t>
  </si>
  <si>
    <t>Delhi Janta Party</t>
  </si>
  <si>
    <t>ISHWAR CHAND</t>
  </si>
  <si>
    <t>Bharatrashtra Democratic Party</t>
  </si>
  <si>
    <t>JAGDEESH PRASAD</t>
  </si>
  <si>
    <t>Samarth Bharatvarsh Party</t>
  </si>
  <si>
    <t>DUGGIRALA NAGESWARA RAO</t>
  </si>
  <si>
    <t>Jatiya Jana Sena Party</t>
  </si>
  <si>
    <t>NARESH KUMAR</t>
  </si>
  <si>
    <t>NITYA NAND SINGH</t>
  </si>
  <si>
    <t>DR. MUNISH KUMAR RAIZADA</t>
  </si>
  <si>
    <t>RAVINDER SINGH RAWAT</t>
  </si>
  <si>
    <t>Haryana Jansena Party</t>
  </si>
  <si>
    <t>SANGHA NAND BAUDDH</t>
  </si>
  <si>
    <t>SANTOSH KUMAR</t>
  </si>
  <si>
    <t>SANTOSH RAI</t>
  </si>
  <si>
    <t>ANITA</t>
  </si>
  <si>
    <t>ANURADHA RANA</t>
  </si>
  <si>
    <t>DR. ABHILASHA</t>
  </si>
  <si>
    <t>PANKAJ SHARMA</t>
  </si>
  <si>
    <t>BHAWANA</t>
  </si>
  <si>
    <t>SANJAY RAWAT</t>
  </si>
  <si>
    <t>HAIDER ALI</t>
  </si>
  <si>
    <t>TARVINDER SINGH MARWAH</t>
  </si>
  <si>
    <t>FARHAD SURI</t>
  </si>
  <si>
    <t>MANISH SISODIA</t>
  </si>
  <si>
    <t>RAVINDRA SINGH RAVIYODAYA</t>
  </si>
  <si>
    <t>ANIL KUMAR</t>
  </si>
  <si>
    <t>Bhartiya Rashtrawadi Party</t>
  </si>
  <si>
    <t>BIJENDER</t>
  </si>
  <si>
    <t>RAKESH SAGAR</t>
  </si>
  <si>
    <t>Blue India Party</t>
  </si>
  <si>
    <t>ASHOK BAMBANI</t>
  </si>
  <si>
    <t>SUNIL KUMAR KUKREJA</t>
  </si>
  <si>
    <t>ABHISHEK DUTT</t>
  </si>
  <si>
    <t>NEERAJ BASOYA</t>
  </si>
  <si>
    <t>MAHESH KUMAR</t>
  </si>
  <si>
    <t>RAMESH PAHELWAN</t>
  </si>
  <si>
    <t>PARTEEK GUPTA</t>
  </si>
  <si>
    <t>CHARANJEET KAUR</t>
  </si>
  <si>
    <t>JITENDER KUMAR KOCHAR</t>
  </si>
  <si>
    <t>SATISH UPADHYAY</t>
  </si>
  <si>
    <t>SOMNATH BHARTI</t>
  </si>
  <si>
    <t>BHAVISH DHANKAR</t>
  </si>
  <si>
    <t>Bhartiya Rashtriya Jansatta</t>
  </si>
  <si>
    <t>DR. BHUPENDRA CHAURASIYA</t>
  </si>
  <si>
    <t>MEGHNAD S.</t>
  </si>
  <si>
    <t>ANIL KUMAR SHARMA</t>
  </si>
  <si>
    <t>PRAMILA TOKAS</t>
  </si>
  <si>
    <t>VISHESH KUMAR</t>
  </si>
  <si>
    <t>SUNIL KAIN</t>
  </si>
  <si>
    <t>ABHA JHA</t>
  </si>
  <si>
    <t>Bhartiya Mahasangh Party</t>
  </si>
  <si>
    <t>NEERAJ CHOURASIYA</t>
  </si>
  <si>
    <t>LOKESH KUMAR MASTERJI</t>
  </si>
  <si>
    <t>SARAVANAN</t>
  </si>
  <si>
    <t>KULDEEP SINGH AHLAWAT</t>
  </si>
  <si>
    <t>PERMILA</t>
  </si>
  <si>
    <t>RAMESH ADVOCATE</t>
  </si>
  <si>
    <t>RAI SINGH</t>
  </si>
  <si>
    <t>GAJENDER SINGH YADAV</t>
  </si>
  <si>
    <t>PUSHPA SINGH</t>
  </si>
  <si>
    <t>MAHENDER CHAUDHARY</t>
  </si>
  <si>
    <t>YOGESHWAR SINGH BISHT</t>
  </si>
  <si>
    <t>MAHAVIR SINGH</t>
  </si>
  <si>
    <t>Matrubhoomi Sewa Party</t>
  </si>
  <si>
    <t>VIJAY LAL TAMTA</t>
  </si>
  <si>
    <t>SHARDA SINGH</t>
  </si>
  <si>
    <t>BALYOGI BABA BALAKNATH</t>
  </si>
  <si>
    <t>KARTAR SINGH TANWAR</t>
  </si>
  <si>
    <t>BRIJ LAL</t>
  </si>
  <si>
    <t>BRAHM SINGH TANWAR</t>
  </si>
  <si>
    <t>RAJENDER SINGH TANWAR</t>
  </si>
  <si>
    <t>ISLAM ALI</t>
  </si>
  <si>
    <t>RICHA KUMARI</t>
  </si>
  <si>
    <t>DINESH TANWAR</t>
  </si>
  <si>
    <t>NARENDER</t>
  </si>
  <si>
    <t>DAYA RAM GURJAR</t>
  </si>
  <si>
    <t>DHARMENDER</t>
  </si>
  <si>
    <t>SANJAY NEGI</t>
  </si>
  <si>
    <t>ASMITA</t>
  </si>
  <si>
    <t>PREM CHAUHAN</t>
  </si>
  <si>
    <t>RAJESH CHAUHAN</t>
  </si>
  <si>
    <t>DEEPAK TANWAR</t>
  </si>
  <si>
    <t>Lok Janshakti Party(Ram Vilas)</t>
  </si>
  <si>
    <t>DEVIKA</t>
  </si>
  <si>
    <t>BACHAN RAM</t>
  </si>
  <si>
    <t>RAJA RAM</t>
  </si>
  <si>
    <t>DR. AJAY DUTT</t>
  </si>
  <si>
    <t>KHUSHI RAM CHUNAR</t>
  </si>
  <si>
    <t>JAI PRAKASH</t>
  </si>
  <si>
    <t>SEWA DASS</t>
  </si>
  <si>
    <t>ARUN</t>
  </si>
  <si>
    <t>GULSHAN BHARTI</t>
  </si>
  <si>
    <t>DARSAN SINGH</t>
  </si>
  <si>
    <t>RAJIV KUMAR</t>
  </si>
  <si>
    <t>CHANDAN KUMAR CHOUDHARY</t>
  </si>
  <si>
    <t>MOHD ZAKIULLAH</t>
  </si>
  <si>
    <t>DINESH MOHANIYA</t>
  </si>
  <si>
    <t>HARSH CHOUDHARY</t>
  </si>
  <si>
    <t>QAMAR ALI</t>
  </si>
  <si>
    <t>RAVINDER SINGH</t>
  </si>
  <si>
    <t>SIRAJUDDIN</t>
  </si>
  <si>
    <t>SUDHIR NEGI</t>
  </si>
  <si>
    <t>JAGDISH KUMAR VERMA</t>
  </si>
  <si>
    <t>MAHENDER KUMAR</t>
  </si>
  <si>
    <t>SATPAL</t>
  </si>
  <si>
    <t>GARVIT SINGHVI</t>
  </si>
  <si>
    <t>NIYATI CHOUDHARY</t>
  </si>
  <si>
    <t>SHIKHA ROY</t>
  </si>
  <si>
    <t>SAURABH BHARADWAJ</t>
  </si>
  <si>
    <t>RAMESH JAGANNATH SHAH</t>
  </si>
  <si>
    <t>SATISH KUMAR GULLIYA</t>
  </si>
  <si>
    <t>ALKA LAMBA</t>
  </si>
  <si>
    <t>ATISHI</t>
  </si>
  <si>
    <t>PRITAM SINGH</t>
  </si>
  <si>
    <t>RAMESH BIDHURI</t>
  </si>
  <si>
    <t>TANYA SINGH</t>
  </si>
  <si>
    <t>DEEPAK KAPILA</t>
  </si>
  <si>
    <t>RAJAN SINGH</t>
  </si>
  <si>
    <t>Aam Janta Party (India)</t>
  </si>
  <si>
    <t>Veer Janshakti Party</t>
  </si>
  <si>
    <t>SANGH MITRA</t>
  </si>
  <si>
    <t>IQBAL AHMED SIDDIQUI</t>
  </si>
  <si>
    <t>PARVEEN CHOUDHRY</t>
  </si>
  <si>
    <t>SANJAY</t>
  </si>
  <si>
    <t>AMJAD HASAN</t>
  </si>
  <si>
    <t>ROHTASH KUMAR</t>
  </si>
  <si>
    <t>VIRENDER SINGH</t>
  </si>
  <si>
    <t>SAHI RAM</t>
  </si>
  <si>
    <t>KHURSHEED ABBAS ZAIDI</t>
  </si>
  <si>
    <t>Rashtriya Bahujan Congress Party</t>
  </si>
  <si>
    <t>CHAMAN LAL</t>
  </si>
  <si>
    <t>PARVEEN CHAUHAN</t>
  </si>
  <si>
    <t>Samata Party</t>
  </si>
  <si>
    <t>REKHA SINGH</t>
  </si>
  <si>
    <t>ARJUN SINGH BHADANA</t>
  </si>
  <si>
    <t>JAGDISH CHAND</t>
  </si>
  <si>
    <t>Communist Party of India  (Marxist)</t>
  </si>
  <si>
    <t>NARAYAN DUTT SHARMA</t>
  </si>
  <si>
    <t>PARDEEP</t>
  </si>
  <si>
    <t>RAM SINGH NETAJI</t>
  </si>
  <si>
    <t>IMRAN SAIFI</t>
  </si>
  <si>
    <t>BRIJPAL</t>
  </si>
  <si>
    <t>RAM BAHADUR</t>
  </si>
  <si>
    <t>Akhil Bhartiya Manavatavadi Party</t>
  </si>
  <si>
    <t>RAHUL RAI</t>
  </si>
  <si>
    <t>HARI RAM</t>
  </si>
  <si>
    <t>OM PRAKASH GUPTA</t>
  </si>
  <si>
    <t>DEEPAK RAWAT</t>
  </si>
  <si>
    <t>AMANATULLAH KHAN</t>
  </si>
  <si>
    <t>ARIBA KHAN</t>
  </si>
  <si>
    <t>MANISH CHAUDHARY</t>
  </si>
  <si>
    <t>SATISH KUMAR</t>
  </si>
  <si>
    <t>MD INJAMAMUL HASSAN</t>
  </si>
  <si>
    <t>MOHD ISLAM</t>
  </si>
  <si>
    <t>KANEEZ FATIMA</t>
  </si>
  <si>
    <t>Aihra National Party</t>
  </si>
  <si>
    <t>JAMALUDDIN</t>
  </si>
  <si>
    <t>FIRDOS ALAM</t>
  </si>
  <si>
    <t>Bhartiya Insan Party</t>
  </si>
  <si>
    <t>RIZWANA KHATOON</t>
  </si>
  <si>
    <t>SHIFA UR REHMAN KHAN</t>
  </si>
  <si>
    <t>All India Majlis-E-Ittehadul Muslimeen</t>
  </si>
  <si>
    <t>SHER MOHAMMAD</t>
  </si>
  <si>
    <t>Azad Samaj Party</t>
  </si>
  <si>
    <t>SHEIKH ARSALAN ULLAH CHISHTI</t>
  </si>
  <si>
    <t>HAMMAD KHAN</t>
  </si>
  <si>
    <t>AMARDEEP</t>
  </si>
  <si>
    <t>ANJANA PARCHA</t>
  </si>
  <si>
    <t>NAND LAL</t>
  </si>
  <si>
    <t>RAVI KANT</t>
  </si>
  <si>
    <t>VICKY</t>
  </si>
  <si>
    <t>SARITA SINGH</t>
  </si>
  <si>
    <t>NAVEEN RAM</t>
  </si>
  <si>
    <t>AKSHAY KUMAR</t>
  </si>
  <si>
    <t>KULDEEP KUMAR (MONU)</t>
  </si>
  <si>
    <t>PRIYANKA GAUTAM</t>
  </si>
  <si>
    <t>AMARJEET PRASAD</t>
  </si>
  <si>
    <t>ASHA KAMBLE</t>
  </si>
  <si>
    <t>NIKHIL KUMAR PIPAL</t>
  </si>
  <si>
    <t>SUNNY KUMAR</t>
  </si>
  <si>
    <t>SURENDER SINGH</t>
  </si>
  <si>
    <t>AVADH OJHA</t>
  </si>
  <si>
    <t>OM SHANKAR PANDEY</t>
  </si>
  <si>
    <t>Ravinder Singh Negi (Ravi Negi)</t>
  </si>
  <si>
    <t>GOPAL PRASAD</t>
  </si>
  <si>
    <t>DEEPA DEVI</t>
  </si>
  <si>
    <t>PRAKASH CHANDRA JOSHI</t>
  </si>
  <si>
    <t>JAGDISH  OJHA</t>
  </si>
  <si>
    <t>DIBLU SINGH</t>
  </si>
  <si>
    <t>ABHAY VERMA</t>
  </si>
  <si>
    <t>B B TYAGI</t>
  </si>
  <si>
    <t>MOHD WAQAR CHOUDHARY</t>
  </si>
  <si>
    <t>SUMIT SHARMA</t>
  </si>
  <si>
    <t>ANIMA OJHA</t>
  </si>
  <si>
    <t>ISMAIL</t>
  </si>
  <si>
    <t>Voice of Awam Party</t>
  </si>
  <si>
    <t>KUSUM LATA</t>
  </si>
  <si>
    <t>GANDHI GAUTAM</t>
  </si>
  <si>
    <t>DANVEER VIDYALANKAR</t>
  </si>
  <si>
    <t>Rashtra Nirman Party</t>
  </si>
  <si>
    <t>DEEPAK PANDEY</t>
  </si>
  <si>
    <t>Magadh Congress of Inda</t>
  </si>
  <si>
    <t>NAMAHA</t>
  </si>
  <si>
    <t>VIKAS</t>
  </si>
  <si>
    <t>Aapsi Sahyog Party</t>
  </si>
  <si>
    <t>ANURAG KUMAR</t>
  </si>
  <si>
    <t>JAGDISH KUMAR GARG</t>
  </si>
  <si>
    <t>VIMAL KUMAR SAXENA</t>
  </si>
  <si>
    <t>OM PRAKASH SHARMA</t>
  </si>
  <si>
    <t>DEEPAK SINGHAL</t>
  </si>
  <si>
    <t>RAJIV CHAUDHARY</t>
  </si>
  <si>
    <t>RAJESH KUMAR YADAV</t>
  </si>
  <si>
    <t>GURMEET SINGH</t>
  </si>
  <si>
    <t>Bharatiy Aam Janta Adhikar Party</t>
  </si>
  <si>
    <t>NEELAM SINGH</t>
  </si>
  <si>
    <t>PARAG JAIN</t>
  </si>
  <si>
    <t>BHAWANA BOTHRA</t>
  </si>
  <si>
    <t>DR ANIL GOYAL</t>
  </si>
  <si>
    <t>AMAR SINGH</t>
  </si>
  <si>
    <t>GURCHARAN SINGH (RAJU)</t>
  </si>
  <si>
    <t>VIKAS BAGGA CA</t>
  </si>
  <si>
    <t>POONAM MAINI</t>
  </si>
  <si>
    <t>VIDHAYAK VIRENDRA PRADHAN GURJAR</t>
  </si>
  <si>
    <t>Samrat Mihir Bhoj Samaj Party</t>
  </si>
  <si>
    <t>VINOD KAPOOR</t>
  </si>
  <si>
    <t>ARVINDER SINGH LOVELY</t>
  </si>
  <si>
    <t>KAMAL ARORA (DABBU)</t>
  </si>
  <si>
    <t>TIKRAJ SINGH</t>
  </si>
  <si>
    <t>NAVEEN CHAUDHARY (DEEPU)</t>
  </si>
  <si>
    <t>PAWAN CHOUDHRY</t>
  </si>
  <si>
    <t>GULFAM</t>
  </si>
  <si>
    <t>JAGAT SINGH</t>
  </si>
  <si>
    <t>JITENDER SINGH SHUNTY</t>
  </si>
  <si>
    <t>DHARMINDRA KUMAR KAIM</t>
  </si>
  <si>
    <t>SANJAY GOYAL</t>
  </si>
  <si>
    <t>KAMAL KISHORE</t>
  </si>
  <si>
    <t>NITIN GARG</t>
  </si>
  <si>
    <t>RAJENDRA KUMAR PAL</t>
  </si>
  <si>
    <t>ASHOK SURANA</t>
  </si>
  <si>
    <t>DILIP BANERJEE</t>
  </si>
  <si>
    <t>VINAY CHAUDHARI</t>
  </si>
  <si>
    <t>MANOJ</t>
  </si>
  <si>
    <t>RAJESH LILOTHIA</t>
  </si>
  <si>
    <t>KU. RINKU</t>
  </si>
  <si>
    <t>VEER SINGH DHINGAN</t>
  </si>
  <si>
    <t>AJAY KUMAR</t>
  </si>
  <si>
    <t>CHARAN SINGH MALIYAN</t>
  </si>
  <si>
    <t>RAJESH</t>
  </si>
  <si>
    <t>Bharatiya Sarvodaya Kranti Party</t>
  </si>
  <si>
    <t>RAJESH KUMAR LOHIYA</t>
  </si>
  <si>
    <t>SAROJ BALA</t>
  </si>
  <si>
    <t>Swatantra Jantaraj Party</t>
  </si>
  <si>
    <t>ASHISH KUMAR</t>
  </si>
  <si>
    <t>JITENDER MAHAJAN</t>
  </si>
  <si>
    <t>SURESHVATI</t>
  </si>
  <si>
    <t>AKESHAN DUT</t>
  </si>
  <si>
    <t>Bhartiya Rashtriya Dal</t>
  </si>
  <si>
    <t>AMIT KUMAR SHARMA</t>
  </si>
  <si>
    <t>NASEEM USMAN</t>
  </si>
  <si>
    <t>PANKAJ GUPTA</t>
  </si>
  <si>
    <t>SUBHASH CHAND GUPTA</t>
  </si>
  <si>
    <t>SURENDER SINGH VISHWAKARMA</t>
  </si>
  <si>
    <t>SANJEEV KUMAR</t>
  </si>
  <si>
    <t>NITIN MITTAL</t>
  </si>
  <si>
    <t>VIKAS TYAGI</t>
  </si>
  <si>
    <t>SURESH PAL JAINTH</t>
  </si>
  <si>
    <t>ANIL KUMAR SHARMA (GAUR)</t>
  </si>
  <si>
    <t>ABDUL REHMAN</t>
  </si>
  <si>
    <t>CHAUDHARY ZUBAIR AHMAD</t>
  </si>
  <si>
    <t>MOHD NAZIR</t>
  </si>
  <si>
    <t>SHABANA</t>
  </si>
  <si>
    <t>Rashtriya Republican Party</t>
  </si>
  <si>
    <t>SUMAN SHARMA</t>
  </si>
  <si>
    <t>S. M. AQIF</t>
  </si>
  <si>
    <t>ISLAUDDIN</t>
  </si>
  <si>
    <t>MOHD ZUBAIR MALIK</t>
  </si>
  <si>
    <t>RAHISUDDIN AHMAD</t>
  </si>
  <si>
    <t>MOHD SHAFI</t>
  </si>
  <si>
    <t>SYED MUNEEB</t>
  </si>
  <si>
    <t>AJAY MAHAWAR</t>
  </si>
  <si>
    <t>GAURAV SHARMA</t>
  </si>
  <si>
    <t>BHISHAM SHARMA</t>
  </si>
  <si>
    <t>SUNDER LOHIYA</t>
  </si>
  <si>
    <t>ANIL SINGH</t>
  </si>
  <si>
    <t>ADVOCATE MEHAK DOGRA</t>
  </si>
  <si>
    <t>SHUBHAM</t>
  </si>
  <si>
    <t>ANIL KUMAR VASHISHT</t>
  </si>
  <si>
    <t>GOPAL RAI</t>
  </si>
  <si>
    <t>MOHD ISHRAQ KHAN</t>
  </si>
  <si>
    <t>BHUPENDER YADAV</t>
  </si>
  <si>
    <t>MD NAZIR</t>
  </si>
  <si>
    <t>Aman Samaj Party</t>
  </si>
  <si>
    <t>SHIV KUMAR(KAKE)</t>
  </si>
  <si>
    <t>MOHAMMAD ABDULLAH ANSARI</t>
  </si>
  <si>
    <t>ISHWAR SINGH</t>
  </si>
  <si>
    <t>PRAVEEN NIMESH</t>
  </si>
  <si>
    <t>LAL SINGH</t>
  </si>
  <si>
    <t>SURENDRA KUMAR</t>
  </si>
  <si>
    <t>ATUL KUMAR</t>
  </si>
  <si>
    <t>ARVIND KUMAR</t>
  </si>
  <si>
    <t>JAGDISH</t>
  </si>
  <si>
    <t>DHARAMVIR SINGH</t>
  </si>
  <si>
    <t>BIR SAIN</t>
  </si>
  <si>
    <t>MANJEET SINGH</t>
  </si>
  <si>
    <t>SURESHPAL JAINTH</t>
  </si>
  <si>
    <t>ALI MEHDI</t>
  </si>
  <si>
    <t>ADEEL AHMAD KHAN</t>
  </si>
  <si>
    <t>MOHAN SINGH BISHT</t>
  </si>
  <si>
    <t>ASHA CHAUDHARY</t>
  </si>
  <si>
    <t>MOHD USMAN BAKHSH</t>
  </si>
  <si>
    <t>Rashtriya Janmorcha</t>
  </si>
  <si>
    <t>MOHD. TAHIR HUSSAIN</t>
  </si>
  <si>
    <t>DHARAM PAL</t>
  </si>
  <si>
    <t>NASIRUDDIN GAURI</t>
  </si>
  <si>
    <t>VISHAL</t>
  </si>
  <si>
    <t>SAGAR TANHA</t>
  </si>
  <si>
    <t>JITENDER KUMAR</t>
  </si>
  <si>
    <t>ASHOK AGARWAL</t>
  </si>
  <si>
    <t>KAPIL MISHRA</t>
  </si>
  <si>
    <t>DEVENDRA BHAIYA</t>
  </si>
  <si>
    <t>MANOJ KUMAR TYAGI</t>
  </si>
  <si>
    <t>DR. P.K. MISHRA</t>
  </si>
  <si>
    <t>NEERAJ</t>
  </si>
  <si>
    <t>PRAKASH CHAND</t>
  </si>
  <si>
    <t>Bahujan Dravida Party</t>
  </si>
  <si>
    <t>YOGENDER</t>
  </si>
  <si>
    <t>SEEMA</t>
  </si>
  <si>
    <t>SANJAY MISHRA (SITARAM)</t>
  </si>
  <si>
    <t>SANDHIYA TIWARI</t>
  </si>
  <si>
    <t>H.M. HASHIM MALIK</t>
  </si>
  <si>
    <t>Social Democratic Party Of India</t>
  </si>
  <si>
    <t>AJAY SINGH NEGI</t>
  </si>
  <si>
    <t>YOGESH SWAMY</t>
  </si>
  <si>
    <t>VISHAL SHARMA</t>
  </si>
  <si>
    <t>Bhartiya Janta Party</t>
  </si>
  <si>
    <t>(All)</t>
  </si>
  <si>
    <t>Grand Total</t>
  </si>
  <si>
    <t>Candidates</t>
  </si>
  <si>
    <t xml:space="preserve"> Total Votes</t>
  </si>
  <si>
    <t xml:space="preserve"> perecentage of Votes</t>
  </si>
  <si>
    <t>Delhi Lok Sabha Election [2025] Result</t>
  </si>
  <si>
    <t>Name of Candidates</t>
  </si>
  <si>
    <t xml:space="preserve"> EVM Votes</t>
  </si>
  <si>
    <t xml:space="preserve"> Postal Votes</t>
  </si>
  <si>
    <t>Constituency(W.No.)</t>
  </si>
  <si>
    <t xml:space="preserve"> S.N.</t>
  </si>
  <si>
    <t>Vlookup</t>
  </si>
  <si>
    <t>Winning parties</t>
  </si>
  <si>
    <t>P.L</t>
  </si>
  <si>
    <r>
      <t>Pivot Table (</t>
    </r>
    <r>
      <rPr>
        <b/>
        <u/>
        <sz val="26"/>
        <color theme="1"/>
        <rFont val="Gill Sans MT"/>
        <family val="2"/>
        <scheme val="minor"/>
      </rPr>
      <t>Winning parties</t>
    </r>
    <r>
      <rPr>
        <b/>
        <u/>
        <sz val="48"/>
        <color theme="1"/>
        <rFont val="Gill Sans MT"/>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</si>
</sst>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u/>
      <sz val="14"/>
      <color theme="1"/>
      <name val="Gill Sans MT"/>
      <family val="2"/>
      <scheme val="minor"/>
    </font>
    <font>
      <b/>
      <sz val="11"/>
      <color theme="5" tint="-0.249977111117893"/>
      <name val="Gill Sans MT"/>
      <family val="2"/>
      <scheme val="minor"/>
    </font>
    <font>
      <b/>
      <u/>
      <sz val="11"/>
      <color theme="1"/>
      <name val="Gill Sans MT"/>
      <family val="2"/>
      <scheme val="minor"/>
    </font>
    <font>
      <b/>
      <u/>
      <sz val="14"/>
      <color theme="1" tint="4.9989318521683403E-2"/>
      <name val="Gill Sans MT"/>
      <family val="2"/>
      <scheme val="minor"/>
    </font>
    <font>
      <b/>
      <u/>
      <sz val="28"/>
      <color theme="1"/>
      <name val="Gill Sans MT"/>
      <family val="2"/>
      <scheme val="minor"/>
    </font>
    <font>
      <b/>
      <u/>
      <sz val="11"/>
      <color theme="1" tint="4.9989318521683403E-2"/>
      <name val="Gill Sans MT"/>
      <family val="2"/>
      <scheme val="minor"/>
    </font>
    <font>
      <b/>
      <u/>
      <sz val="36"/>
      <color theme="1" tint="4.9989318521683403E-2"/>
      <name val="Gill Sans MT"/>
      <family val="2"/>
      <scheme val="minor"/>
    </font>
    <font>
      <b/>
      <u/>
      <sz val="36"/>
      <color theme="1"/>
      <name val="Gill Sans MT"/>
      <family val="2"/>
      <scheme val="minor"/>
    </font>
    <font>
      <b/>
      <i/>
      <u/>
      <sz val="14"/>
      <color theme="1" tint="4.9989318521683403E-2"/>
      <name val="Gill Sans MT"/>
      <family val="2"/>
      <scheme val="minor"/>
    </font>
    <font>
      <b/>
      <u/>
      <sz val="26"/>
      <color theme="1"/>
      <name val="Gill Sans MT"/>
      <family val="2"/>
      <scheme val="minor"/>
    </font>
    <font>
      <b/>
      <u/>
      <sz val="48"/>
      <color theme="1"/>
      <name val="Gill Sans MT"/>
      <family val="2"/>
      <scheme val="minor"/>
    </font>
    <font>
      <sz val="16"/>
      <color theme="1" tint="4.9989318521683403E-2"/>
      <name val="Gill Sans MT"/>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6" tint="0.39997558519241921"/>
        <bgColor indexed="64"/>
      </patternFill>
    </fill>
    <fill>
      <patternFill patternType="solid">
        <fgColor theme="9"/>
        <bgColor indexed="64"/>
      </patternFill>
    </fill>
    <fill>
      <patternFill patternType="solid">
        <fgColor theme="4" tint="0.39997558519241921"/>
        <bgColor indexed="64"/>
      </patternFill>
    </fill>
    <fill>
      <patternFill patternType="solid">
        <fgColor theme="5"/>
        <bgColor indexed="64"/>
      </patternFill>
    </fill>
    <fill>
      <patternFill patternType="solid">
        <fgColor theme="6" tint="0.79998168889431442"/>
        <bgColor theme="6" tint="0.79998168889431442"/>
      </patternFill>
    </fill>
    <fill>
      <patternFill patternType="solid">
        <fgColor theme="9" tint="0.39997558519241921"/>
        <bgColor indexed="64"/>
      </patternFill>
    </fill>
    <fill>
      <patternFill patternType="solid">
        <fgColor theme="9" tint="-0.249977111117893"/>
        <bgColor indexed="64"/>
      </patternFill>
    </fill>
    <fill>
      <patternFill patternType="solid">
        <fgColor theme="5"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0" xfId="0" applyBorder="1" applyAlignment="1">
      <alignment horizontal="center" vertical="center"/>
    </xf>
    <xf numFmtId="0" fontId="19" fillId="0" borderId="10" xfId="0" applyFont="1" applyBorder="1" applyAlignment="1">
      <alignment horizontal="center" vertical="center"/>
    </xf>
    <xf numFmtId="11" fontId="19" fillId="0" borderId="10" xfId="0" applyNumberFormat="1" applyFont="1" applyBorder="1" applyAlignment="1">
      <alignment horizontal="center" vertical="center"/>
    </xf>
    <xf numFmtId="0" fontId="20" fillId="0" borderId="10" xfId="0" pivotButton="1" applyFont="1" applyBorder="1" applyAlignment="1">
      <alignment horizontal="center" vertical="center"/>
    </xf>
    <xf numFmtId="0" fontId="20" fillId="0" borderId="10" xfId="0" applyFont="1" applyBorder="1" applyAlignment="1">
      <alignment horizontal="center" vertical="center"/>
    </xf>
    <xf numFmtId="0" fontId="0" fillId="0" borderId="10" xfId="0" pivotButton="1" applyBorder="1" applyAlignment="1">
      <alignment horizontal="center" vertical="center"/>
    </xf>
    <xf numFmtId="0" fontId="21" fillId="34" borderId="10" xfId="0" applyFont="1" applyFill="1" applyBorder="1" applyAlignment="1">
      <alignment horizontal="center" vertical="center"/>
    </xf>
    <xf numFmtId="0" fontId="19" fillId="0" borderId="0" xfId="0" applyFont="1" applyAlignment="1">
      <alignment horizontal="center" vertical="center"/>
    </xf>
    <xf numFmtId="0" fontId="18" fillId="0" borderId="10" xfId="0" pivotButton="1" applyFont="1" applyBorder="1" applyAlignment="1">
      <alignment horizontal="center" vertical="center"/>
    </xf>
    <xf numFmtId="0" fontId="18" fillId="0" borderId="10" xfId="0" applyFont="1" applyBorder="1" applyAlignment="1">
      <alignment horizontal="center" vertical="center"/>
    </xf>
    <xf numFmtId="0" fontId="20" fillId="36" borderId="10" xfId="0" applyFont="1" applyFill="1" applyBorder="1" applyAlignment="1">
      <alignment horizontal="center" vertical="center"/>
    </xf>
    <xf numFmtId="0" fontId="23" fillId="37" borderId="10" xfId="0" applyFont="1" applyFill="1" applyBorder="1" applyAlignment="1">
      <alignment horizontal="center" vertical="center"/>
    </xf>
    <xf numFmtId="0" fontId="0" fillId="38" borderId="10" xfId="0" applyFill="1"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19" fillId="39" borderId="10" xfId="0" applyFont="1" applyFill="1" applyBorder="1" applyAlignment="1">
      <alignment horizontal="center" vertical="center"/>
    </xf>
    <xf numFmtId="11" fontId="19" fillId="39" borderId="10" xfId="0" applyNumberFormat="1" applyFont="1" applyFill="1" applyBorder="1" applyAlignment="1">
      <alignment horizontal="center" vertical="center"/>
    </xf>
    <xf numFmtId="0" fontId="0" fillId="39" borderId="10" xfId="0" applyFill="1" applyBorder="1" applyAlignment="1">
      <alignment horizontal="center" vertical="center"/>
    </xf>
    <xf numFmtId="0" fontId="21" fillId="34" borderId="11" xfId="0" applyFont="1" applyFill="1" applyBorder="1" applyAlignment="1">
      <alignment horizontal="center" vertical="center"/>
    </xf>
    <xf numFmtId="0" fontId="21" fillId="34" borderId="17" xfId="0" applyFont="1" applyFill="1" applyBorder="1" applyAlignment="1">
      <alignment horizontal="center" vertical="center"/>
    </xf>
    <xf numFmtId="0" fontId="21" fillId="34" borderId="18" xfId="0" applyFont="1" applyFill="1" applyBorder="1" applyAlignment="1">
      <alignment horizontal="center" vertical="center"/>
    </xf>
    <xf numFmtId="0" fontId="26" fillId="34" borderId="17" xfId="0" applyFont="1" applyFill="1" applyBorder="1" applyAlignment="1">
      <alignment horizontal="center" vertical="center"/>
    </xf>
    <xf numFmtId="0" fontId="29" fillId="0" borderId="10" xfId="0" pivotButton="1" applyFont="1" applyBorder="1" applyAlignment="1">
      <alignment horizontal="center" vertical="center"/>
    </xf>
    <xf numFmtId="0" fontId="29" fillId="0" borderId="10" xfId="0" applyFont="1" applyBorder="1" applyAlignment="1">
      <alignment horizontal="center" vertical="center"/>
    </xf>
    <xf numFmtId="0" fontId="19" fillId="41" borderId="15" xfId="0" applyFont="1" applyFill="1" applyBorder="1" applyAlignment="1">
      <alignment horizontal="center" vertical="center"/>
    </xf>
    <xf numFmtId="0" fontId="0" fillId="41" borderId="10" xfId="0" applyFill="1" applyBorder="1"/>
    <xf numFmtId="0" fontId="19" fillId="41" borderId="10" xfId="0" applyFont="1" applyFill="1" applyBorder="1" applyAlignment="1">
      <alignment horizontal="center" vertical="center"/>
    </xf>
    <xf numFmtId="11" fontId="19" fillId="41" borderId="10" xfId="0" applyNumberFormat="1" applyFont="1" applyFill="1" applyBorder="1" applyAlignment="1">
      <alignment horizontal="center" vertical="center"/>
    </xf>
    <xf numFmtId="0" fontId="19" fillId="41" borderId="16" xfId="0" applyFont="1" applyFill="1" applyBorder="1" applyAlignment="1">
      <alignment horizontal="center" vertical="center"/>
    </xf>
    <xf numFmtId="0" fontId="0" fillId="41" borderId="15" xfId="0" applyFill="1" applyBorder="1" applyAlignment="1">
      <alignment horizontal="center" vertical="center"/>
    </xf>
    <xf numFmtId="0" fontId="0" fillId="41" borderId="10" xfId="0" applyFill="1" applyBorder="1" applyAlignment="1">
      <alignment horizontal="center" vertical="center"/>
    </xf>
    <xf numFmtId="0" fontId="0" fillId="41" borderId="16" xfId="0" applyFill="1" applyBorder="1" applyAlignment="1">
      <alignment horizontal="center" vertical="center"/>
    </xf>
    <xf numFmtId="0" fontId="19" fillId="41" borderId="19" xfId="0" applyFont="1" applyFill="1" applyBorder="1" applyAlignment="1">
      <alignment horizontal="center" vertical="center"/>
    </xf>
    <xf numFmtId="0" fontId="0" fillId="41" borderId="20" xfId="0" applyFill="1" applyBorder="1"/>
    <xf numFmtId="0" fontId="19" fillId="41" borderId="20" xfId="0" applyFont="1" applyFill="1" applyBorder="1" applyAlignment="1">
      <alignment horizontal="center" vertical="center"/>
    </xf>
    <xf numFmtId="0" fontId="19" fillId="41" borderId="21" xfId="0" applyFont="1" applyFill="1" applyBorder="1" applyAlignment="1">
      <alignment horizontal="center" vertical="center"/>
    </xf>
    <xf numFmtId="0" fontId="25" fillId="35" borderId="0" xfId="0" applyFont="1" applyFill="1" applyAlignment="1">
      <alignment horizontal="center" vertical="center"/>
    </xf>
    <xf numFmtId="0" fontId="22" fillId="33" borderId="10" xfId="0" applyFont="1" applyFill="1" applyBorder="1" applyAlignment="1">
      <alignment horizontal="center" vertical="center"/>
    </xf>
    <xf numFmtId="0" fontId="24" fillId="35" borderId="0" xfId="0" applyFont="1" applyFill="1" applyAlignment="1">
      <alignment horizontal="center" vertical="center"/>
    </xf>
    <xf numFmtId="0" fontId="24" fillId="35" borderId="13" xfId="0" applyFont="1" applyFill="1" applyBorder="1" applyAlignment="1">
      <alignment horizontal="center" vertical="center"/>
    </xf>
    <xf numFmtId="0" fontId="24" fillId="35" borderId="14" xfId="0" applyFont="1" applyFill="1" applyBorder="1" applyAlignment="1">
      <alignment horizontal="center" vertical="center"/>
    </xf>
    <xf numFmtId="0" fontId="24" fillId="35" borderId="11" xfId="0" applyFont="1" applyFill="1" applyBorder="1" applyAlignment="1">
      <alignment horizontal="center" vertical="center"/>
    </xf>
    <xf numFmtId="0" fontId="28" fillId="40"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8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6"/>
      </font>
    </dxf>
    <dxf>
      <font>
        <sz val="16"/>
      </font>
    </dxf>
    <dxf>
      <font>
        <color theme="1" tint="4.9989318521683403E-2"/>
      </font>
    </dxf>
    <dxf>
      <font>
        <color theme="1" tint="4.9989318521683403E-2"/>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patternType="solid">
          <bgColor theme="9"/>
        </patternFill>
      </fill>
    </dxf>
    <dxf>
      <fill>
        <patternFill patternType="solid">
          <bgColor theme="9"/>
        </patternFill>
      </fill>
    </dxf>
    <dxf>
      <font>
        <u/>
      </font>
    </dxf>
    <dxf>
      <font>
        <u/>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5"/>
        </patternFill>
      </fill>
    </dxf>
    <dxf>
      <font>
        <u/>
      </font>
    </dxf>
    <dxf>
      <font>
        <b/>
      </font>
    </dxf>
    <dxf>
      <font>
        <u/>
      </font>
    </dxf>
    <dxf>
      <font>
        <b/>
      </font>
    </dxf>
    <dxf>
      <font>
        <b/>
      </font>
    </dxf>
    <dxf>
      <font>
        <u/>
      </font>
    </dxf>
    <dxf>
      <font>
        <color theme="1" tint="4.9989318521683403E-2"/>
      </font>
    </dxf>
    <dxf>
      <font>
        <color theme="1" tint="4.9989318521683403E-2"/>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u/>
      </font>
    </dxf>
    <dxf>
      <font>
        <u/>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vertical style="thin">
          <color indexed="64"/>
        </vertical>
        <horizontal style="thin">
          <color indexed="64"/>
        </horizontal>
      </border>
    </dxf>
    <dxf>
      <border>
        <left/>
        <right/>
        <top/>
        <bottom/>
        <vertical/>
        <horizontal/>
      </border>
    </dxf>
    <dxf>
      <font>
        <sz val="14"/>
      </font>
    </dxf>
    <dxf>
      <font>
        <sz val="14"/>
      </font>
    </dxf>
    <dxf>
      <font>
        <u/>
      </font>
    </dxf>
    <dxf>
      <font>
        <u/>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5" tint="-0.249977111117893"/>
        <name val="Gill Sans MT"/>
        <family val="2"/>
        <scheme val="minor"/>
      </font>
      <fill>
        <patternFill patternType="solid">
          <fgColor indexed="64"/>
          <bgColor theme="5" tint="0.59999389629810485"/>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ertAlign val="baseline"/>
        <sz val="14"/>
        <color theme="1" tint="4.9989318521683403E-2"/>
        <name val="Gill Sans MT"/>
        <family val="2"/>
        <scheme val="minor"/>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0" indent="0" justifyLastLine="0" shrinkToFit="0" readingOrder="0"/>
    </dxf>
    <dxf>
      <font>
        <b/>
        <strike val="0"/>
        <outline val="0"/>
        <shadow val="0"/>
        <u/>
        <vertAlign val="baseline"/>
        <sz val="14"/>
        <color theme="1" tint="4.9989318521683403E-2"/>
        <name val="Gill Sans MT"/>
        <family val="2"/>
        <scheme val="minor"/>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21</xdr:col>
      <xdr:colOff>8372</xdr:colOff>
      <xdr:row>4</xdr:row>
      <xdr:rowOff>1905</xdr:rowOff>
    </xdr:from>
    <xdr:to>
      <xdr:col>21</xdr:col>
      <xdr:colOff>567728</xdr:colOff>
      <xdr:row>5</xdr:row>
      <xdr:rowOff>606</xdr:rowOff>
    </xdr:to>
    <xdr:pic>
      <xdr:nvPicPr>
        <xdr:cNvPr id="79" name="Picture 78">
          <a:extLst>
            <a:ext uri="{FF2B5EF4-FFF2-40B4-BE49-F238E27FC236}">
              <a16:creationId xmlns:a16="http://schemas.microsoft.com/office/drawing/2014/main" id="{384E2845-A78C-019D-277D-591714EDB3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661031" y="1090151"/>
          <a:ext cx="559356" cy="226844"/>
        </a:xfrm>
        <a:prstGeom prst="rect">
          <a:avLst/>
        </a:prstGeom>
      </xdr:spPr>
    </xdr:pic>
    <xdr:clientData/>
  </xdr:twoCellAnchor>
  <xdr:twoCellAnchor editAs="oneCell">
    <xdr:from>
      <xdr:col>21</xdr:col>
      <xdr:colOff>5715</xdr:colOff>
      <xdr:row>22</xdr:row>
      <xdr:rowOff>5715</xdr:rowOff>
    </xdr:from>
    <xdr:to>
      <xdr:col>21</xdr:col>
      <xdr:colOff>567690</xdr:colOff>
      <xdr:row>22</xdr:row>
      <xdr:rowOff>224790</xdr:rowOff>
    </xdr:to>
    <xdr:pic>
      <xdr:nvPicPr>
        <xdr:cNvPr id="160" name="Picture 159">
          <a:extLst>
            <a:ext uri="{FF2B5EF4-FFF2-40B4-BE49-F238E27FC236}">
              <a16:creationId xmlns:a16="http://schemas.microsoft.com/office/drawing/2014/main" id="{99F8521C-803D-45BD-940D-A1D859952D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5210175"/>
          <a:ext cx="561975" cy="219075"/>
        </a:xfrm>
        <a:prstGeom prst="rect">
          <a:avLst/>
        </a:prstGeom>
      </xdr:spPr>
    </xdr:pic>
    <xdr:clientData/>
  </xdr:twoCellAnchor>
  <xdr:twoCellAnchor editAs="oneCell">
    <xdr:from>
      <xdr:col>21</xdr:col>
      <xdr:colOff>5715</xdr:colOff>
      <xdr:row>23</xdr:row>
      <xdr:rowOff>5715</xdr:rowOff>
    </xdr:from>
    <xdr:to>
      <xdr:col>21</xdr:col>
      <xdr:colOff>567690</xdr:colOff>
      <xdr:row>23</xdr:row>
      <xdr:rowOff>224790</xdr:rowOff>
    </xdr:to>
    <xdr:pic>
      <xdr:nvPicPr>
        <xdr:cNvPr id="163" name="Picture 162">
          <a:extLst>
            <a:ext uri="{FF2B5EF4-FFF2-40B4-BE49-F238E27FC236}">
              <a16:creationId xmlns:a16="http://schemas.microsoft.com/office/drawing/2014/main" id="{6883E36A-96D1-4B66-986E-74EFA306E9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5438775"/>
          <a:ext cx="561975" cy="219075"/>
        </a:xfrm>
        <a:prstGeom prst="rect">
          <a:avLst/>
        </a:prstGeom>
      </xdr:spPr>
    </xdr:pic>
    <xdr:clientData/>
  </xdr:twoCellAnchor>
  <xdr:twoCellAnchor editAs="oneCell">
    <xdr:from>
      <xdr:col>21</xdr:col>
      <xdr:colOff>5715</xdr:colOff>
      <xdr:row>24</xdr:row>
      <xdr:rowOff>5715</xdr:rowOff>
    </xdr:from>
    <xdr:to>
      <xdr:col>21</xdr:col>
      <xdr:colOff>567690</xdr:colOff>
      <xdr:row>24</xdr:row>
      <xdr:rowOff>224790</xdr:rowOff>
    </xdr:to>
    <xdr:pic>
      <xdr:nvPicPr>
        <xdr:cNvPr id="169" name="Picture 168">
          <a:extLst>
            <a:ext uri="{FF2B5EF4-FFF2-40B4-BE49-F238E27FC236}">
              <a16:creationId xmlns:a16="http://schemas.microsoft.com/office/drawing/2014/main" id="{C000D55E-9A76-435A-B9B0-3571823B5D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5667375"/>
          <a:ext cx="561975" cy="219075"/>
        </a:xfrm>
        <a:prstGeom prst="rect">
          <a:avLst/>
        </a:prstGeom>
      </xdr:spPr>
    </xdr:pic>
    <xdr:clientData/>
  </xdr:twoCellAnchor>
  <xdr:twoCellAnchor editAs="oneCell">
    <xdr:from>
      <xdr:col>21</xdr:col>
      <xdr:colOff>5715</xdr:colOff>
      <xdr:row>25</xdr:row>
      <xdr:rowOff>5715</xdr:rowOff>
    </xdr:from>
    <xdr:to>
      <xdr:col>21</xdr:col>
      <xdr:colOff>567690</xdr:colOff>
      <xdr:row>25</xdr:row>
      <xdr:rowOff>224790</xdr:rowOff>
    </xdr:to>
    <xdr:pic>
      <xdr:nvPicPr>
        <xdr:cNvPr id="170" name="Picture 169">
          <a:extLst>
            <a:ext uri="{FF2B5EF4-FFF2-40B4-BE49-F238E27FC236}">
              <a16:creationId xmlns:a16="http://schemas.microsoft.com/office/drawing/2014/main" id="{63ACEF18-8764-4385-B214-42ED8203C4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5895975"/>
          <a:ext cx="561975" cy="219075"/>
        </a:xfrm>
        <a:prstGeom prst="rect">
          <a:avLst/>
        </a:prstGeom>
      </xdr:spPr>
    </xdr:pic>
    <xdr:clientData/>
  </xdr:twoCellAnchor>
  <xdr:twoCellAnchor editAs="oneCell">
    <xdr:from>
      <xdr:col>21</xdr:col>
      <xdr:colOff>5715</xdr:colOff>
      <xdr:row>30</xdr:row>
      <xdr:rowOff>5715</xdr:rowOff>
    </xdr:from>
    <xdr:to>
      <xdr:col>21</xdr:col>
      <xdr:colOff>567690</xdr:colOff>
      <xdr:row>30</xdr:row>
      <xdr:rowOff>224790</xdr:rowOff>
    </xdr:to>
    <xdr:pic>
      <xdr:nvPicPr>
        <xdr:cNvPr id="171" name="Picture 170">
          <a:extLst>
            <a:ext uri="{FF2B5EF4-FFF2-40B4-BE49-F238E27FC236}">
              <a16:creationId xmlns:a16="http://schemas.microsoft.com/office/drawing/2014/main" id="{D65FB56D-2229-4952-878D-801BB51ACA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7038975"/>
          <a:ext cx="561975" cy="219075"/>
        </a:xfrm>
        <a:prstGeom prst="rect">
          <a:avLst/>
        </a:prstGeom>
      </xdr:spPr>
    </xdr:pic>
    <xdr:clientData/>
  </xdr:twoCellAnchor>
  <xdr:twoCellAnchor editAs="oneCell">
    <xdr:from>
      <xdr:col>21</xdr:col>
      <xdr:colOff>5715</xdr:colOff>
      <xdr:row>39</xdr:row>
      <xdr:rowOff>5715</xdr:rowOff>
    </xdr:from>
    <xdr:to>
      <xdr:col>21</xdr:col>
      <xdr:colOff>567690</xdr:colOff>
      <xdr:row>39</xdr:row>
      <xdr:rowOff>224790</xdr:rowOff>
    </xdr:to>
    <xdr:pic>
      <xdr:nvPicPr>
        <xdr:cNvPr id="172" name="Picture 171">
          <a:extLst>
            <a:ext uri="{FF2B5EF4-FFF2-40B4-BE49-F238E27FC236}">
              <a16:creationId xmlns:a16="http://schemas.microsoft.com/office/drawing/2014/main" id="{9A539D8E-746B-4256-9621-7D0B536B75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9096375"/>
          <a:ext cx="561975" cy="219075"/>
        </a:xfrm>
        <a:prstGeom prst="rect">
          <a:avLst/>
        </a:prstGeom>
      </xdr:spPr>
    </xdr:pic>
    <xdr:clientData/>
  </xdr:twoCellAnchor>
  <xdr:twoCellAnchor editAs="oneCell">
    <xdr:from>
      <xdr:col>21</xdr:col>
      <xdr:colOff>5715</xdr:colOff>
      <xdr:row>48</xdr:row>
      <xdr:rowOff>5715</xdr:rowOff>
    </xdr:from>
    <xdr:to>
      <xdr:col>21</xdr:col>
      <xdr:colOff>567690</xdr:colOff>
      <xdr:row>48</xdr:row>
      <xdr:rowOff>224790</xdr:rowOff>
    </xdr:to>
    <xdr:pic>
      <xdr:nvPicPr>
        <xdr:cNvPr id="173" name="Picture 172">
          <a:extLst>
            <a:ext uri="{FF2B5EF4-FFF2-40B4-BE49-F238E27FC236}">
              <a16:creationId xmlns:a16="http://schemas.microsoft.com/office/drawing/2014/main" id="{4F674BBB-F51E-431C-8E50-AF830F2A44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1153775"/>
          <a:ext cx="561975" cy="219075"/>
        </a:xfrm>
        <a:prstGeom prst="rect">
          <a:avLst/>
        </a:prstGeom>
      </xdr:spPr>
    </xdr:pic>
    <xdr:clientData/>
  </xdr:twoCellAnchor>
  <xdr:twoCellAnchor editAs="oneCell">
    <xdr:from>
      <xdr:col>21</xdr:col>
      <xdr:colOff>5715</xdr:colOff>
      <xdr:row>49</xdr:row>
      <xdr:rowOff>3810</xdr:rowOff>
    </xdr:from>
    <xdr:to>
      <xdr:col>21</xdr:col>
      <xdr:colOff>567690</xdr:colOff>
      <xdr:row>49</xdr:row>
      <xdr:rowOff>222885</xdr:rowOff>
    </xdr:to>
    <xdr:pic>
      <xdr:nvPicPr>
        <xdr:cNvPr id="174" name="Picture 173">
          <a:extLst>
            <a:ext uri="{FF2B5EF4-FFF2-40B4-BE49-F238E27FC236}">
              <a16:creationId xmlns:a16="http://schemas.microsoft.com/office/drawing/2014/main" id="{8E411555-8512-4549-8FFC-07D8CFA5DB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1380470"/>
          <a:ext cx="561975" cy="219075"/>
        </a:xfrm>
        <a:prstGeom prst="rect">
          <a:avLst/>
        </a:prstGeom>
      </xdr:spPr>
    </xdr:pic>
    <xdr:clientData/>
  </xdr:twoCellAnchor>
  <xdr:twoCellAnchor editAs="oneCell">
    <xdr:from>
      <xdr:col>21</xdr:col>
      <xdr:colOff>5715</xdr:colOff>
      <xdr:row>52</xdr:row>
      <xdr:rowOff>5715</xdr:rowOff>
    </xdr:from>
    <xdr:to>
      <xdr:col>21</xdr:col>
      <xdr:colOff>567690</xdr:colOff>
      <xdr:row>52</xdr:row>
      <xdr:rowOff>224790</xdr:rowOff>
    </xdr:to>
    <xdr:pic>
      <xdr:nvPicPr>
        <xdr:cNvPr id="175" name="Picture 174">
          <a:extLst>
            <a:ext uri="{FF2B5EF4-FFF2-40B4-BE49-F238E27FC236}">
              <a16:creationId xmlns:a16="http://schemas.microsoft.com/office/drawing/2014/main" id="{3BEBDDEF-64F7-4652-B5F2-80ED2671E4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2068175"/>
          <a:ext cx="561975" cy="219075"/>
        </a:xfrm>
        <a:prstGeom prst="rect">
          <a:avLst/>
        </a:prstGeom>
      </xdr:spPr>
    </xdr:pic>
    <xdr:clientData/>
  </xdr:twoCellAnchor>
  <xdr:twoCellAnchor editAs="oneCell">
    <xdr:from>
      <xdr:col>21</xdr:col>
      <xdr:colOff>5715</xdr:colOff>
      <xdr:row>53</xdr:row>
      <xdr:rowOff>5715</xdr:rowOff>
    </xdr:from>
    <xdr:to>
      <xdr:col>21</xdr:col>
      <xdr:colOff>567690</xdr:colOff>
      <xdr:row>53</xdr:row>
      <xdr:rowOff>224790</xdr:rowOff>
    </xdr:to>
    <xdr:pic>
      <xdr:nvPicPr>
        <xdr:cNvPr id="176" name="Picture 175">
          <a:extLst>
            <a:ext uri="{FF2B5EF4-FFF2-40B4-BE49-F238E27FC236}">
              <a16:creationId xmlns:a16="http://schemas.microsoft.com/office/drawing/2014/main" id="{23C4C4B4-DCFD-47CD-95BB-C7A58194E9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2296775"/>
          <a:ext cx="561975" cy="219075"/>
        </a:xfrm>
        <a:prstGeom prst="rect">
          <a:avLst/>
        </a:prstGeom>
      </xdr:spPr>
    </xdr:pic>
    <xdr:clientData/>
  </xdr:twoCellAnchor>
  <xdr:twoCellAnchor editAs="oneCell">
    <xdr:from>
      <xdr:col>21</xdr:col>
      <xdr:colOff>5715</xdr:colOff>
      <xdr:row>54</xdr:row>
      <xdr:rowOff>5715</xdr:rowOff>
    </xdr:from>
    <xdr:to>
      <xdr:col>21</xdr:col>
      <xdr:colOff>567690</xdr:colOff>
      <xdr:row>54</xdr:row>
      <xdr:rowOff>224790</xdr:rowOff>
    </xdr:to>
    <xdr:pic>
      <xdr:nvPicPr>
        <xdr:cNvPr id="177" name="Picture 176">
          <a:extLst>
            <a:ext uri="{FF2B5EF4-FFF2-40B4-BE49-F238E27FC236}">
              <a16:creationId xmlns:a16="http://schemas.microsoft.com/office/drawing/2014/main" id="{2113CF15-E6D6-4857-BB93-BCAD2ECE2A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2525375"/>
          <a:ext cx="561975" cy="219075"/>
        </a:xfrm>
        <a:prstGeom prst="rect">
          <a:avLst/>
        </a:prstGeom>
      </xdr:spPr>
    </xdr:pic>
    <xdr:clientData/>
  </xdr:twoCellAnchor>
  <xdr:twoCellAnchor editAs="oneCell">
    <xdr:from>
      <xdr:col>21</xdr:col>
      <xdr:colOff>5715</xdr:colOff>
      <xdr:row>55</xdr:row>
      <xdr:rowOff>5715</xdr:rowOff>
    </xdr:from>
    <xdr:to>
      <xdr:col>21</xdr:col>
      <xdr:colOff>567690</xdr:colOff>
      <xdr:row>55</xdr:row>
      <xdr:rowOff>224790</xdr:rowOff>
    </xdr:to>
    <xdr:pic>
      <xdr:nvPicPr>
        <xdr:cNvPr id="178" name="Picture 177">
          <a:extLst>
            <a:ext uri="{FF2B5EF4-FFF2-40B4-BE49-F238E27FC236}">
              <a16:creationId xmlns:a16="http://schemas.microsoft.com/office/drawing/2014/main" id="{FC52332C-F737-47CA-8DEC-08C24905A6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2753975"/>
          <a:ext cx="561975" cy="219075"/>
        </a:xfrm>
        <a:prstGeom prst="rect">
          <a:avLst/>
        </a:prstGeom>
      </xdr:spPr>
    </xdr:pic>
    <xdr:clientData/>
  </xdr:twoCellAnchor>
  <xdr:twoCellAnchor editAs="oneCell">
    <xdr:from>
      <xdr:col>21</xdr:col>
      <xdr:colOff>5715</xdr:colOff>
      <xdr:row>64</xdr:row>
      <xdr:rowOff>5715</xdr:rowOff>
    </xdr:from>
    <xdr:to>
      <xdr:col>21</xdr:col>
      <xdr:colOff>567690</xdr:colOff>
      <xdr:row>64</xdr:row>
      <xdr:rowOff>224790</xdr:rowOff>
    </xdr:to>
    <xdr:pic>
      <xdr:nvPicPr>
        <xdr:cNvPr id="180" name="Picture 179">
          <a:extLst>
            <a:ext uri="{FF2B5EF4-FFF2-40B4-BE49-F238E27FC236}">
              <a16:creationId xmlns:a16="http://schemas.microsoft.com/office/drawing/2014/main" id="{85D9BDEC-FBDB-429C-9695-A8454D31F9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4811375"/>
          <a:ext cx="561975" cy="219075"/>
        </a:xfrm>
        <a:prstGeom prst="rect">
          <a:avLst/>
        </a:prstGeom>
      </xdr:spPr>
    </xdr:pic>
    <xdr:clientData/>
  </xdr:twoCellAnchor>
  <xdr:twoCellAnchor editAs="oneCell">
    <xdr:from>
      <xdr:col>21</xdr:col>
      <xdr:colOff>5715</xdr:colOff>
      <xdr:row>66</xdr:row>
      <xdr:rowOff>5715</xdr:rowOff>
    </xdr:from>
    <xdr:to>
      <xdr:col>21</xdr:col>
      <xdr:colOff>567690</xdr:colOff>
      <xdr:row>66</xdr:row>
      <xdr:rowOff>224790</xdr:rowOff>
    </xdr:to>
    <xdr:pic>
      <xdr:nvPicPr>
        <xdr:cNvPr id="181" name="Picture 180">
          <a:extLst>
            <a:ext uri="{FF2B5EF4-FFF2-40B4-BE49-F238E27FC236}">
              <a16:creationId xmlns:a16="http://schemas.microsoft.com/office/drawing/2014/main" id="{2A3A7E17-7ADC-4733-8CEA-F6F82CB28D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195" y="15268575"/>
          <a:ext cx="561975" cy="219075"/>
        </a:xfrm>
        <a:prstGeom prst="rect">
          <a:avLst/>
        </a:prstGeom>
      </xdr:spPr>
    </xdr:pic>
    <xdr:clientData/>
  </xdr:twoCellAnchor>
  <xdr:twoCellAnchor editAs="oneCell">
    <xdr:from>
      <xdr:col>21</xdr:col>
      <xdr:colOff>6843</xdr:colOff>
      <xdr:row>11</xdr:row>
      <xdr:rowOff>6843</xdr:rowOff>
    </xdr:from>
    <xdr:to>
      <xdr:col>21</xdr:col>
      <xdr:colOff>568818</xdr:colOff>
      <xdr:row>11</xdr:row>
      <xdr:rowOff>225918</xdr:rowOff>
    </xdr:to>
    <xdr:pic>
      <xdr:nvPicPr>
        <xdr:cNvPr id="184" name="Picture 183">
          <a:extLst>
            <a:ext uri="{FF2B5EF4-FFF2-40B4-BE49-F238E27FC236}">
              <a16:creationId xmlns:a16="http://schemas.microsoft.com/office/drawing/2014/main" id="{98FC36AA-822A-48A7-99E9-57661746E6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502" y="2692094"/>
          <a:ext cx="561975" cy="219075"/>
        </a:xfrm>
        <a:prstGeom prst="rect">
          <a:avLst/>
        </a:prstGeom>
      </xdr:spPr>
    </xdr:pic>
    <xdr:clientData/>
  </xdr:twoCellAnchor>
  <xdr:twoCellAnchor editAs="oneCell">
    <xdr:from>
      <xdr:col>21</xdr:col>
      <xdr:colOff>6843</xdr:colOff>
      <xdr:row>12</xdr:row>
      <xdr:rowOff>6843</xdr:rowOff>
    </xdr:from>
    <xdr:to>
      <xdr:col>21</xdr:col>
      <xdr:colOff>568818</xdr:colOff>
      <xdr:row>12</xdr:row>
      <xdr:rowOff>225918</xdr:rowOff>
    </xdr:to>
    <xdr:pic>
      <xdr:nvPicPr>
        <xdr:cNvPr id="185" name="Picture 184">
          <a:extLst>
            <a:ext uri="{FF2B5EF4-FFF2-40B4-BE49-F238E27FC236}">
              <a16:creationId xmlns:a16="http://schemas.microsoft.com/office/drawing/2014/main" id="{486AD12E-33AA-4ED6-9BDE-7557E9341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502" y="2920238"/>
          <a:ext cx="561975" cy="219075"/>
        </a:xfrm>
        <a:prstGeom prst="rect">
          <a:avLst/>
        </a:prstGeom>
      </xdr:spPr>
    </xdr:pic>
    <xdr:clientData/>
  </xdr:twoCellAnchor>
  <xdr:twoCellAnchor editAs="oneCell">
    <xdr:from>
      <xdr:col>21</xdr:col>
      <xdr:colOff>6843</xdr:colOff>
      <xdr:row>21</xdr:row>
      <xdr:rowOff>6843</xdr:rowOff>
    </xdr:from>
    <xdr:to>
      <xdr:col>21</xdr:col>
      <xdr:colOff>568818</xdr:colOff>
      <xdr:row>21</xdr:row>
      <xdr:rowOff>225918</xdr:rowOff>
    </xdr:to>
    <xdr:pic>
      <xdr:nvPicPr>
        <xdr:cNvPr id="186" name="Picture 185">
          <a:extLst>
            <a:ext uri="{FF2B5EF4-FFF2-40B4-BE49-F238E27FC236}">
              <a16:creationId xmlns:a16="http://schemas.microsoft.com/office/drawing/2014/main" id="{B1B4FCE5-93FE-4CFD-8174-AFCB71C455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502" y="4973532"/>
          <a:ext cx="561975" cy="219075"/>
        </a:xfrm>
        <a:prstGeom prst="rect">
          <a:avLst/>
        </a:prstGeom>
      </xdr:spPr>
    </xdr:pic>
    <xdr:clientData/>
  </xdr:twoCellAnchor>
  <xdr:twoCellAnchor editAs="oneCell">
    <xdr:from>
      <xdr:col>21</xdr:col>
      <xdr:colOff>6843</xdr:colOff>
      <xdr:row>57</xdr:row>
      <xdr:rowOff>6843</xdr:rowOff>
    </xdr:from>
    <xdr:to>
      <xdr:col>21</xdr:col>
      <xdr:colOff>568818</xdr:colOff>
      <xdr:row>57</xdr:row>
      <xdr:rowOff>225918</xdr:rowOff>
    </xdr:to>
    <xdr:pic>
      <xdr:nvPicPr>
        <xdr:cNvPr id="187" name="Picture 186">
          <a:extLst>
            <a:ext uri="{FF2B5EF4-FFF2-40B4-BE49-F238E27FC236}">
              <a16:creationId xmlns:a16="http://schemas.microsoft.com/office/drawing/2014/main" id="{A76EFA79-88B3-402C-848E-B4CE9D574E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502" y="13186705"/>
          <a:ext cx="561975" cy="219075"/>
        </a:xfrm>
        <a:prstGeom prst="rect">
          <a:avLst/>
        </a:prstGeom>
      </xdr:spPr>
    </xdr:pic>
    <xdr:clientData/>
  </xdr:twoCellAnchor>
  <xdr:twoCellAnchor editAs="oneCell">
    <xdr:from>
      <xdr:col>21</xdr:col>
      <xdr:colOff>6843</xdr:colOff>
      <xdr:row>68</xdr:row>
      <xdr:rowOff>6843</xdr:rowOff>
    </xdr:from>
    <xdr:to>
      <xdr:col>21</xdr:col>
      <xdr:colOff>568818</xdr:colOff>
      <xdr:row>68</xdr:row>
      <xdr:rowOff>225918</xdr:rowOff>
    </xdr:to>
    <xdr:pic>
      <xdr:nvPicPr>
        <xdr:cNvPr id="188" name="Picture 187">
          <a:extLst>
            <a:ext uri="{FF2B5EF4-FFF2-40B4-BE49-F238E27FC236}">
              <a16:creationId xmlns:a16="http://schemas.microsoft.com/office/drawing/2014/main" id="{5465682F-54E5-40AA-B403-C0894E806C9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502" y="15696286"/>
          <a:ext cx="561975" cy="219075"/>
        </a:xfrm>
        <a:prstGeom prst="rect">
          <a:avLst/>
        </a:prstGeom>
      </xdr:spPr>
    </xdr:pic>
    <xdr:clientData/>
  </xdr:twoCellAnchor>
  <xdr:twoCellAnchor editAs="oneCell">
    <xdr:from>
      <xdr:col>21</xdr:col>
      <xdr:colOff>6843</xdr:colOff>
      <xdr:row>69</xdr:row>
      <xdr:rowOff>6843</xdr:rowOff>
    </xdr:from>
    <xdr:to>
      <xdr:col>21</xdr:col>
      <xdr:colOff>568818</xdr:colOff>
      <xdr:row>69</xdr:row>
      <xdr:rowOff>225918</xdr:rowOff>
    </xdr:to>
    <xdr:pic>
      <xdr:nvPicPr>
        <xdr:cNvPr id="189" name="Picture 188">
          <a:extLst>
            <a:ext uri="{FF2B5EF4-FFF2-40B4-BE49-F238E27FC236}">
              <a16:creationId xmlns:a16="http://schemas.microsoft.com/office/drawing/2014/main" id="{2154B6BF-74BE-4C10-B97F-37D5647C09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59502" y="15924430"/>
          <a:ext cx="561975" cy="219075"/>
        </a:xfrm>
        <a:prstGeom prst="rect">
          <a:avLst/>
        </a:prstGeom>
      </xdr:spPr>
    </xdr:pic>
    <xdr:clientData/>
  </xdr:twoCellAnchor>
  <xdr:twoCellAnchor editAs="oneCell">
    <xdr:from>
      <xdr:col>21</xdr:col>
      <xdr:colOff>5166</xdr:colOff>
      <xdr:row>3</xdr:row>
      <xdr:rowOff>5166</xdr:rowOff>
    </xdr:from>
    <xdr:to>
      <xdr:col>21</xdr:col>
      <xdr:colOff>565688</xdr:colOff>
      <xdr:row>4</xdr:row>
      <xdr:rowOff>1782</xdr:rowOff>
    </xdr:to>
    <xdr:pic>
      <xdr:nvPicPr>
        <xdr:cNvPr id="3" name="Picture 2">
          <a:extLst>
            <a:ext uri="{FF2B5EF4-FFF2-40B4-BE49-F238E27FC236}">
              <a16:creationId xmlns:a16="http://schemas.microsoft.com/office/drawing/2014/main" id="{2E7A747D-EE8B-7858-1B7F-F5DB707769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660454" y="865322"/>
          <a:ext cx="560522" cy="222952"/>
        </a:xfrm>
        <a:prstGeom prst="rect">
          <a:avLst/>
        </a:prstGeom>
      </xdr:spPr>
    </xdr:pic>
    <xdr:clientData/>
  </xdr:twoCellAnchor>
  <xdr:twoCellAnchor editAs="oneCell">
    <xdr:from>
      <xdr:col>21</xdr:col>
      <xdr:colOff>2583</xdr:colOff>
      <xdr:row>6</xdr:row>
      <xdr:rowOff>5166</xdr:rowOff>
    </xdr:from>
    <xdr:to>
      <xdr:col>21</xdr:col>
      <xdr:colOff>568271</xdr:colOff>
      <xdr:row>7</xdr:row>
      <xdr:rowOff>1782</xdr:rowOff>
    </xdr:to>
    <xdr:pic>
      <xdr:nvPicPr>
        <xdr:cNvPr id="5" name="Picture 4">
          <a:extLst>
            <a:ext uri="{FF2B5EF4-FFF2-40B4-BE49-F238E27FC236}">
              <a16:creationId xmlns:a16="http://schemas.microsoft.com/office/drawing/2014/main" id="{FF5299C3-8ADD-4898-9620-27018363DA2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554997"/>
          <a:ext cx="565688" cy="222952"/>
        </a:xfrm>
        <a:prstGeom prst="rect">
          <a:avLst/>
        </a:prstGeom>
      </xdr:spPr>
    </xdr:pic>
    <xdr:clientData/>
  </xdr:twoCellAnchor>
  <xdr:twoCellAnchor editAs="oneCell">
    <xdr:from>
      <xdr:col>21</xdr:col>
      <xdr:colOff>2583</xdr:colOff>
      <xdr:row>5</xdr:row>
      <xdr:rowOff>5166</xdr:rowOff>
    </xdr:from>
    <xdr:to>
      <xdr:col>21</xdr:col>
      <xdr:colOff>568271</xdr:colOff>
      <xdr:row>6</xdr:row>
      <xdr:rowOff>1781</xdr:rowOff>
    </xdr:to>
    <xdr:pic>
      <xdr:nvPicPr>
        <xdr:cNvPr id="6" name="Picture 5">
          <a:extLst>
            <a:ext uri="{FF2B5EF4-FFF2-40B4-BE49-F238E27FC236}">
              <a16:creationId xmlns:a16="http://schemas.microsoft.com/office/drawing/2014/main" id="{93E0F7A8-7EF0-435B-89E7-4A088B3C18B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325105"/>
          <a:ext cx="565688" cy="222952"/>
        </a:xfrm>
        <a:prstGeom prst="rect">
          <a:avLst/>
        </a:prstGeom>
      </xdr:spPr>
    </xdr:pic>
    <xdr:clientData/>
  </xdr:twoCellAnchor>
  <xdr:twoCellAnchor editAs="oneCell">
    <xdr:from>
      <xdr:col>21</xdr:col>
      <xdr:colOff>2583</xdr:colOff>
      <xdr:row>7</xdr:row>
      <xdr:rowOff>5166</xdr:rowOff>
    </xdr:from>
    <xdr:to>
      <xdr:col>21</xdr:col>
      <xdr:colOff>568271</xdr:colOff>
      <xdr:row>8</xdr:row>
      <xdr:rowOff>1781</xdr:rowOff>
    </xdr:to>
    <xdr:pic>
      <xdr:nvPicPr>
        <xdr:cNvPr id="7" name="Picture 6">
          <a:extLst>
            <a:ext uri="{FF2B5EF4-FFF2-40B4-BE49-F238E27FC236}">
              <a16:creationId xmlns:a16="http://schemas.microsoft.com/office/drawing/2014/main" id="{A8A8E27B-DD51-4D10-891B-A6BF8014503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784888"/>
          <a:ext cx="565688" cy="222952"/>
        </a:xfrm>
        <a:prstGeom prst="rect">
          <a:avLst/>
        </a:prstGeom>
      </xdr:spPr>
    </xdr:pic>
    <xdr:clientData/>
  </xdr:twoCellAnchor>
  <xdr:twoCellAnchor editAs="oneCell">
    <xdr:from>
      <xdr:col>21</xdr:col>
      <xdr:colOff>2583</xdr:colOff>
      <xdr:row>8</xdr:row>
      <xdr:rowOff>5166</xdr:rowOff>
    </xdr:from>
    <xdr:to>
      <xdr:col>21</xdr:col>
      <xdr:colOff>568271</xdr:colOff>
      <xdr:row>9</xdr:row>
      <xdr:rowOff>1782</xdr:rowOff>
    </xdr:to>
    <xdr:pic>
      <xdr:nvPicPr>
        <xdr:cNvPr id="8" name="Picture 7">
          <a:extLst>
            <a:ext uri="{FF2B5EF4-FFF2-40B4-BE49-F238E27FC236}">
              <a16:creationId xmlns:a16="http://schemas.microsoft.com/office/drawing/2014/main" id="{48A5EA13-6AAA-485E-8E2C-0975421945D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2014780"/>
          <a:ext cx="565688" cy="222952"/>
        </a:xfrm>
        <a:prstGeom prst="rect">
          <a:avLst/>
        </a:prstGeom>
      </xdr:spPr>
    </xdr:pic>
    <xdr:clientData/>
  </xdr:twoCellAnchor>
  <xdr:twoCellAnchor editAs="oneCell">
    <xdr:from>
      <xdr:col>21</xdr:col>
      <xdr:colOff>2583</xdr:colOff>
      <xdr:row>9</xdr:row>
      <xdr:rowOff>5166</xdr:rowOff>
    </xdr:from>
    <xdr:to>
      <xdr:col>21</xdr:col>
      <xdr:colOff>568271</xdr:colOff>
      <xdr:row>10</xdr:row>
      <xdr:rowOff>1781</xdr:rowOff>
    </xdr:to>
    <xdr:pic>
      <xdr:nvPicPr>
        <xdr:cNvPr id="9" name="Picture 8">
          <a:extLst>
            <a:ext uri="{FF2B5EF4-FFF2-40B4-BE49-F238E27FC236}">
              <a16:creationId xmlns:a16="http://schemas.microsoft.com/office/drawing/2014/main" id="{F6435955-AB0E-4963-ACC3-27C00228A12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2244671"/>
          <a:ext cx="565688" cy="222952"/>
        </a:xfrm>
        <a:prstGeom prst="rect">
          <a:avLst/>
        </a:prstGeom>
      </xdr:spPr>
    </xdr:pic>
    <xdr:clientData/>
  </xdr:twoCellAnchor>
  <xdr:twoCellAnchor editAs="oneCell">
    <xdr:from>
      <xdr:col>21</xdr:col>
      <xdr:colOff>2583</xdr:colOff>
      <xdr:row>10</xdr:row>
      <xdr:rowOff>5166</xdr:rowOff>
    </xdr:from>
    <xdr:to>
      <xdr:col>21</xdr:col>
      <xdr:colOff>568271</xdr:colOff>
      <xdr:row>11</xdr:row>
      <xdr:rowOff>1781</xdr:rowOff>
    </xdr:to>
    <xdr:pic>
      <xdr:nvPicPr>
        <xdr:cNvPr id="10" name="Picture 9">
          <a:extLst>
            <a:ext uri="{FF2B5EF4-FFF2-40B4-BE49-F238E27FC236}">
              <a16:creationId xmlns:a16="http://schemas.microsoft.com/office/drawing/2014/main" id="{AE1D242B-59B1-41F5-8F8E-508A40774F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2474563"/>
          <a:ext cx="565688" cy="222952"/>
        </a:xfrm>
        <a:prstGeom prst="rect">
          <a:avLst/>
        </a:prstGeom>
      </xdr:spPr>
    </xdr:pic>
    <xdr:clientData/>
  </xdr:twoCellAnchor>
  <xdr:twoCellAnchor editAs="oneCell">
    <xdr:from>
      <xdr:col>21</xdr:col>
      <xdr:colOff>2583</xdr:colOff>
      <xdr:row>13</xdr:row>
      <xdr:rowOff>5166</xdr:rowOff>
    </xdr:from>
    <xdr:to>
      <xdr:col>21</xdr:col>
      <xdr:colOff>568271</xdr:colOff>
      <xdr:row>14</xdr:row>
      <xdr:rowOff>1781</xdr:rowOff>
    </xdr:to>
    <xdr:pic>
      <xdr:nvPicPr>
        <xdr:cNvPr id="11" name="Picture 10">
          <a:extLst>
            <a:ext uri="{FF2B5EF4-FFF2-40B4-BE49-F238E27FC236}">
              <a16:creationId xmlns:a16="http://schemas.microsoft.com/office/drawing/2014/main" id="{08E0804F-7470-4F00-99A6-1297DE37BB2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3164237"/>
          <a:ext cx="565688" cy="222952"/>
        </a:xfrm>
        <a:prstGeom prst="rect">
          <a:avLst/>
        </a:prstGeom>
      </xdr:spPr>
    </xdr:pic>
    <xdr:clientData/>
  </xdr:twoCellAnchor>
  <xdr:twoCellAnchor editAs="oneCell">
    <xdr:from>
      <xdr:col>21</xdr:col>
      <xdr:colOff>2583</xdr:colOff>
      <xdr:row>14</xdr:row>
      <xdr:rowOff>5166</xdr:rowOff>
    </xdr:from>
    <xdr:to>
      <xdr:col>21</xdr:col>
      <xdr:colOff>568271</xdr:colOff>
      <xdr:row>15</xdr:row>
      <xdr:rowOff>1782</xdr:rowOff>
    </xdr:to>
    <xdr:pic>
      <xdr:nvPicPr>
        <xdr:cNvPr id="12" name="Picture 11">
          <a:extLst>
            <a:ext uri="{FF2B5EF4-FFF2-40B4-BE49-F238E27FC236}">
              <a16:creationId xmlns:a16="http://schemas.microsoft.com/office/drawing/2014/main" id="{E8BDEAEE-0275-4F3E-8FE1-EBACDFE0B8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3394129"/>
          <a:ext cx="565688" cy="222952"/>
        </a:xfrm>
        <a:prstGeom prst="rect">
          <a:avLst/>
        </a:prstGeom>
      </xdr:spPr>
    </xdr:pic>
    <xdr:clientData/>
  </xdr:twoCellAnchor>
  <xdr:twoCellAnchor editAs="oneCell">
    <xdr:from>
      <xdr:col>21</xdr:col>
      <xdr:colOff>2583</xdr:colOff>
      <xdr:row>15</xdr:row>
      <xdr:rowOff>5166</xdr:rowOff>
    </xdr:from>
    <xdr:to>
      <xdr:col>21</xdr:col>
      <xdr:colOff>568271</xdr:colOff>
      <xdr:row>16</xdr:row>
      <xdr:rowOff>1781</xdr:rowOff>
    </xdr:to>
    <xdr:pic>
      <xdr:nvPicPr>
        <xdr:cNvPr id="13" name="Picture 12">
          <a:extLst>
            <a:ext uri="{FF2B5EF4-FFF2-40B4-BE49-F238E27FC236}">
              <a16:creationId xmlns:a16="http://schemas.microsoft.com/office/drawing/2014/main" id="{5E62B843-21F6-4547-8646-992646A454E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3624020"/>
          <a:ext cx="565688" cy="222952"/>
        </a:xfrm>
        <a:prstGeom prst="rect">
          <a:avLst/>
        </a:prstGeom>
      </xdr:spPr>
    </xdr:pic>
    <xdr:clientData/>
  </xdr:twoCellAnchor>
  <xdr:twoCellAnchor editAs="oneCell">
    <xdr:from>
      <xdr:col>21</xdr:col>
      <xdr:colOff>2583</xdr:colOff>
      <xdr:row>16</xdr:row>
      <xdr:rowOff>5166</xdr:rowOff>
    </xdr:from>
    <xdr:to>
      <xdr:col>21</xdr:col>
      <xdr:colOff>568271</xdr:colOff>
      <xdr:row>17</xdr:row>
      <xdr:rowOff>1781</xdr:rowOff>
    </xdr:to>
    <xdr:pic>
      <xdr:nvPicPr>
        <xdr:cNvPr id="14" name="Picture 13">
          <a:extLst>
            <a:ext uri="{FF2B5EF4-FFF2-40B4-BE49-F238E27FC236}">
              <a16:creationId xmlns:a16="http://schemas.microsoft.com/office/drawing/2014/main" id="{D55308F7-78C6-406E-AB81-16B6EE3243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3853912"/>
          <a:ext cx="565688" cy="222952"/>
        </a:xfrm>
        <a:prstGeom prst="rect">
          <a:avLst/>
        </a:prstGeom>
      </xdr:spPr>
    </xdr:pic>
    <xdr:clientData/>
  </xdr:twoCellAnchor>
  <xdr:twoCellAnchor editAs="oneCell">
    <xdr:from>
      <xdr:col>21</xdr:col>
      <xdr:colOff>2583</xdr:colOff>
      <xdr:row>17</xdr:row>
      <xdr:rowOff>5166</xdr:rowOff>
    </xdr:from>
    <xdr:to>
      <xdr:col>21</xdr:col>
      <xdr:colOff>568271</xdr:colOff>
      <xdr:row>18</xdr:row>
      <xdr:rowOff>1782</xdr:rowOff>
    </xdr:to>
    <xdr:pic>
      <xdr:nvPicPr>
        <xdr:cNvPr id="15" name="Picture 14">
          <a:extLst>
            <a:ext uri="{FF2B5EF4-FFF2-40B4-BE49-F238E27FC236}">
              <a16:creationId xmlns:a16="http://schemas.microsoft.com/office/drawing/2014/main" id="{0DD7DF0A-A39D-4DB8-A7AA-D745E5E023B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4083803"/>
          <a:ext cx="565688" cy="222952"/>
        </a:xfrm>
        <a:prstGeom prst="rect">
          <a:avLst/>
        </a:prstGeom>
      </xdr:spPr>
    </xdr:pic>
    <xdr:clientData/>
  </xdr:twoCellAnchor>
  <xdr:twoCellAnchor editAs="oneCell">
    <xdr:from>
      <xdr:col>21</xdr:col>
      <xdr:colOff>2583</xdr:colOff>
      <xdr:row>18</xdr:row>
      <xdr:rowOff>5166</xdr:rowOff>
    </xdr:from>
    <xdr:to>
      <xdr:col>21</xdr:col>
      <xdr:colOff>568271</xdr:colOff>
      <xdr:row>19</xdr:row>
      <xdr:rowOff>1781</xdr:rowOff>
    </xdr:to>
    <xdr:pic>
      <xdr:nvPicPr>
        <xdr:cNvPr id="16" name="Picture 15">
          <a:extLst>
            <a:ext uri="{FF2B5EF4-FFF2-40B4-BE49-F238E27FC236}">
              <a16:creationId xmlns:a16="http://schemas.microsoft.com/office/drawing/2014/main" id="{16E2D6F7-4682-40C1-A9E8-082D0CB1171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4313695"/>
          <a:ext cx="565688" cy="222952"/>
        </a:xfrm>
        <a:prstGeom prst="rect">
          <a:avLst/>
        </a:prstGeom>
      </xdr:spPr>
    </xdr:pic>
    <xdr:clientData/>
  </xdr:twoCellAnchor>
  <xdr:twoCellAnchor editAs="oneCell">
    <xdr:from>
      <xdr:col>21</xdr:col>
      <xdr:colOff>2583</xdr:colOff>
      <xdr:row>19</xdr:row>
      <xdr:rowOff>5166</xdr:rowOff>
    </xdr:from>
    <xdr:to>
      <xdr:col>21</xdr:col>
      <xdr:colOff>568271</xdr:colOff>
      <xdr:row>20</xdr:row>
      <xdr:rowOff>1782</xdr:rowOff>
    </xdr:to>
    <xdr:pic>
      <xdr:nvPicPr>
        <xdr:cNvPr id="17" name="Picture 16">
          <a:extLst>
            <a:ext uri="{FF2B5EF4-FFF2-40B4-BE49-F238E27FC236}">
              <a16:creationId xmlns:a16="http://schemas.microsoft.com/office/drawing/2014/main" id="{54CB622C-8F0E-4EA1-ABE7-277A22DDAB0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4543586"/>
          <a:ext cx="565688" cy="222952"/>
        </a:xfrm>
        <a:prstGeom prst="rect">
          <a:avLst/>
        </a:prstGeom>
      </xdr:spPr>
    </xdr:pic>
    <xdr:clientData/>
  </xdr:twoCellAnchor>
  <xdr:twoCellAnchor editAs="oneCell">
    <xdr:from>
      <xdr:col>21</xdr:col>
      <xdr:colOff>2583</xdr:colOff>
      <xdr:row>20</xdr:row>
      <xdr:rowOff>5166</xdr:rowOff>
    </xdr:from>
    <xdr:to>
      <xdr:col>21</xdr:col>
      <xdr:colOff>568271</xdr:colOff>
      <xdr:row>21</xdr:row>
      <xdr:rowOff>1781</xdr:rowOff>
    </xdr:to>
    <xdr:pic>
      <xdr:nvPicPr>
        <xdr:cNvPr id="18" name="Picture 17">
          <a:extLst>
            <a:ext uri="{FF2B5EF4-FFF2-40B4-BE49-F238E27FC236}">
              <a16:creationId xmlns:a16="http://schemas.microsoft.com/office/drawing/2014/main" id="{1BFE2971-6CEA-492C-9ECD-C0878D6B821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4773478"/>
          <a:ext cx="565688" cy="222952"/>
        </a:xfrm>
        <a:prstGeom prst="rect">
          <a:avLst/>
        </a:prstGeom>
      </xdr:spPr>
    </xdr:pic>
    <xdr:clientData/>
  </xdr:twoCellAnchor>
  <xdr:twoCellAnchor editAs="oneCell">
    <xdr:from>
      <xdr:col>21</xdr:col>
      <xdr:colOff>2583</xdr:colOff>
      <xdr:row>26</xdr:row>
      <xdr:rowOff>5166</xdr:rowOff>
    </xdr:from>
    <xdr:to>
      <xdr:col>21</xdr:col>
      <xdr:colOff>568271</xdr:colOff>
      <xdr:row>27</xdr:row>
      <xdr:rowOff>1781</xdr:rowOff>
    </xdr:to>
    <xdr:pic>
      <xdr:nvPicPr>
        <xdr:cNvPr id="19" name="Picture 18">
          <a:extLst>
            <a:ext uri="{FF2B5EF4-FFF2-40B4-BE49-F238E27FC236}">
              <a16:creationId xmlns:a16="http://schemas.microsoft.com/office/drawing/2014/main" id="{8A3DDAE2-E9B4-4BDE-B79E-A262AD4701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6152827"/>
          <a:ext cx="565688" cy="222952"/>
        </a:xfrm>
        <a:prstGeom prst="rect">
          <a:avLst/>
        </a:prstGeom>
      </xdr:spPr>
    </xdr:pic>
    <xdr:clientData/>
  </xdr:twoCellAnchor>
  <xdr:twoCellAnchor editAs="oneCell">
    <xdr:from>
      <xdr:col>21</xdr:col>
      <xdr:colOff>2583</xdr:colOff>
      <xdr:row>27</xdr:row>
      <xdr:rowOff>5166</xdr:rowOff>
    </xdr:from>
    <xdr:to>
      <xdr:col>21</xdr:col>
      <xdr:colOff>568271</xdr:colOff>
      <xdr:row>28</xdr:row>
      <xdr:rowOff>1782</xdr:rowOff>
    </xdr:to>
    <xdr:pic>
      <xdr:nvPicPr>
        <xdr:cNvPr id="20" name="Picture 19">
          <a:extLst>
            <a:ext uri="{FF2B5EF4-FFF2-40B4-BE49-F238E27FC236}">
              <a16:creationId xmlns:a16="http://schemas.microsoft.com/office/drawing/2014/main" id="{13DC3FF9-7F7E-47AE-81A5-C12343F8D8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6382719"/>
          <a:ext cx="565688" cy="222952"/>
        </a:xfrm>
        <a:prstGeom prst="rect">
          <a:avLst/>
        </a:prstGeom>
      </xdr:spPr>
    </xdr:pic>
    <xdr:clientData/>
  </xdr:twoCellAnchor>
  <xdr:twoCellAnchor editAs="oneCell">
    <xdr:from>
      <xdr:col>21</xdr:col>
      <xdr:colOff>2583</xdr:colOff>
      <xdr:row>28</xdr:row>
      <xdr:rowOff>5166</xdr:rowOff>
    </xdr:from>
    <xdr:to>
      <xdr:col>21</xdr:col>
      <xdr:colOff>568271</xdr:colOff>
      <xdr:row>29</xdr:row>
      <xdr:rowOff>1781</xdr:rowOff>
    </xdr:to>
    <xdr:pic>
      <xdr:nvPicPr>
        <xdr:cNvPr id="21" name="Picture 20">
          <a:extLst>
            <a:ext uri="{FF2B5EF4-FFF2-40B4-BE49-F238E27FC236}">
              <a16:creationId xmlns:a16="http://schemas.microsoft.com/office/drawing/2014/main" id="{1CAE6A1E-1249-4CDE-90B8-97E3A2C696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6612610"/>
          <a:ext cx="565688" cy="222952"/>
        </a:xfrm>
        <a:prstGeom prst="rect">
          <a:avLst/>
        </a:prstGeom>
      </xdr:spPr>
    </xdr:pic>
    <xdr:clientData/>
  </xdr:twoCellAnchor>
  <xdr:twoCellAnchor editAs="oneCell">
    <xdr:from>
      <xdr:col>21</xdr:col>
      <xdr:colOff>2583</xdr:colOff>
      <xdr:row>29</xdr:row>
      <xdr:rowOff>5166</xdr:rowOff>
    </xdr:from>
    <xdr:to>
      <xdr:col>21</xdr:col>
      <xdr:colOff>568271</xdr:colOff>
      <xdr:row>30</xdr:row>
      <xdr:rowOff>1781</xdr:rowOff>
    </xdr:to>
    <xdr:pic>
      <xdr:nvPicPr>
        <xdr:cNvPr id="22" name="Picture 21">
          <a:extLst>
            <a:ext uri="{FF2B5EF4-FFF2-40B4-BE49-F238E27FC236}">
              <a16:creationId xmlns:a16="http://schemas.microsoft.com/office/drawing/2014/main" id="{CF049761-3BB4-4D49-B25C-95F90823FC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6842502"/>
          <a:ext cx="565688" cy="222952"/>
        </a:xfrm>
        <a:prstGeom prst="rect">
          <a:avLst/>
        </a:prstGeom>
      </xdr:spPr>
    </xdr:pic>
    <xdr:clientData/>
  </xdr:twoCellAnchor>
  <xdr:twoCellAnchor editAs="oneCell">
    <xdr:from>
      <xdr:col>21</xdr:col>
      <xdr:colOff>2583</xdr:colOff>
      <xdr:row>31</xdr:row>
      <xdr:rowOff>5166</xdr:rowOff>
    </xdr:from>
    <xdr:to>
      <xdr:col>21</xdr:col>
      <xdr:colOff>568271</xdr:colOff>
      <xdr:row>32</xdr:row>
      <xdr:rowOff>1781</xdr:rowOff>
    </xdr:to>
    <xdr:pic>
      <xdr:nvPicPr>
        <xdr:cNvPr id="23" name="Picture 22">
          <a:extLst>
            <a:ext uri="{FF2B5EF4-FFF2-40B4-BE49-F238E27FC236}">
              <a16:creationId xmlns:a16="http://schemas.microsoft.com/office/drawing/2014/main" id="{56B37A7C-70CD-42F1-8A0B-E6813E1397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7302285"/>
          <a:ext cx="565688" cy="222952"/>
        </a:xfrm>
        <a:prstGeom prst="rect">
          <a:avLst/>
        </a:prstGeom>
      </xdr:spPr>
    </xdr:pic>
    <xdr:clientData/>
  </xdr:twoCellAnchor>
  <xdr:twoCellAnchor editAs="oneCell">
    <xdr:from>
      <xdr:col>21</xdr:col>
      <xdr:colOff>2583</xdr:colOff>
      <xdr:row>32</xdr:row>
      <xdr:rowOff>5166</xdr:rowOff>
    </xdr:from>
    <xdr:to>
      <xdr:col>21</xdr:col>
      <xdr:colOff>568271</xdr:colOff>
      <xdr:row>33</xdr:row>
      <xdr:rowOff>1781</xdr:rowOff>
    </xdr:to>
    <xdr:pic>
      <xdr:nvPicPr>
        <xdr:cNvPr id="24" name="Picture 23">
          <a:extLst>
            <a:ext uri="{FF2B5EF4-FFF2-40B4-BE49-F238E27FC236}">
              <a16:creationId xmlns:a16="http://schemas.microsoft.com/office/drawing/2014/main" id="{0C2775EB-893F-44EE-8C53-344859E348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7532176"/>
          <a:ext cx="565688" cy="222952"/>
        </a:xfrm>
        <a:prstGeom prst="rect">
          <a:avLst/>
        </a:prstGeom>
      </xdr:spPr>
    </xdr:pic>
    <xdr:clientData/>
  </xdr:twoCellAnchor>
  <xdr:twoCellAnchor editAs="oneCell">
    <xdr:from>
      <xdr:col>21</xdr:col>
      <xdr:colOff>2583</xdr:colOff>
      <xdr:row>33</xdr:row>
      <xdr:rowOff>5166</xdr:rowOff>
    </xdr:from>
    <xdr:to>
      <xdr:col>21</xdr:col>
      <xdr:colOff>568271</xdr:colOff>
      <xdr:row>34</xdr:row>
      <xdr:rowOff>1782</xdr:rowOff>
    </xdr:to>
    <xdr:pic>
      <xdr:nvPicPr>
        <xdr:cNvPr id="25" name="Picture 24">
          <a:extLst>
            <a:ext uri="{FF2B5EF4-FFF2-40B4-BE49-F238E27FC236}">
              <a16:creationId xmlns:a16="http://schemas.microsoft.com/office/drawing/2014/main" id="{6951810F-61F7-42C1-87E8-01181E706AE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7762068"/>
          <a:ext cx="565688" cy="222952"/>
        </a:xfrm>
        <a:prstGeom prst="rect">
          <a:avLst/>
        </a:prstGeom>
      </xdr:spPr>
    </xdr:pic>
    <xdr:clientData/>
  </xdr:twoCellAnchor>
  <xdr:twoCellAnchor editAs="oneCell">
    <xdr:from>
      <xdr:col>21</xdr:col>
      <xdr:colOff>2583</xdr:colOff>
      <xdr:row>34</xdr:row>
      <xdr:rowOff>5166</xdr:rowOff>
    </xdr:from>
    <xdr:to>
      <xdr:col>21</xdr:col>
      <xdr:colOff>568271</xdr:colOff>
      <xdr:row>35</xdr:row>
      <xdr:rowOff>1781</xdr:rowOff>
    </xdr:to>
    <xdr:pic>
      <xdr:nvPicPr>
        <xdr:cNvPr id="26" name="Picture 25">
          <a:extLst>
            <a:ext uri="{FF2B5EF4-FFF2-40B4-BE49-F238E27FC236}">
              <a16:creationId xmlns:a16="http://schemas.microsoft.com/office/drawing/2014/main" id="{E4A64FD9-B2A4-4003-8E4D-877BDAA8BD6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7991959"/>
          <a:ext cx="565688" cy="222952"/>
        </a:xfrm>
        <a:prstGeom prst="rect">
          <a:avLst/>
        </a:prstGeom>
      </xdr:spPr>
    </xdr:pic>
    <xdr:clientData/>
  </xdr:twoCellAnchor>
  <xdr:twoCellAnchor editAs="oneCell">
    <xdr:from>
      <xdr:col>21</xdr:col>
      <xdr:colOff>2583</xdr:colOff>
      <xdr:row>35</xdr:row>
      <xdr:rowOff>5166</xdr:rowOff>
    </xdr:from>
    <xdr:to>
      <xdr:col>21</xdr:col>
      <xdr:colOff>568271</xdr:colOff>
      <xdr:row>36</xdr:row>
      <xdr:rowOff>1781</xdr:rowOff>
    </xdr:to>
    <xdr:pic>
      <xdr:nvPicPr>
        <xdr:cNvPr id="27" name="Picture 26">
          <a:extLst>
            <a:ext uri="{FF2B5EF4-FFF2-40B4-BE49-F238E27FC236}">
              <a16:creationId xmlns:a16="http://schemas.microsoft.com/office/drawing/2014/main" id="{B82F1432-8AD0-4001-8FD8-CEA01C2520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8221851"/>
          <a:ext cx="565688" cy="222952"/>
        </a:xfrm>
        <a:prstGeom prst="rect">
          <a:avLst/>
        </a:prstGeom>
      </xdr:spPr>
    </xdr:pic>
    <xdr:clientData/>
  </xdr:twoCellAnchor>
  <xdr:twoCellAnchor editAs="oneCell">
    <xdr:from>
      <xdr:col>21</xdr:col>
      <xdr:colOff>2583</xdr:colOff>
      <xdr:row>36</xdr:row>
      <xdr:rowOff>5166</xdr:rowOff>
    </xdr:from>
    <xdr:to>
      <xdr:col>21</xdr:col>
      <xdr:colOff>568271</xdr:colOff>
      <xdr:row>37</xdr:row>
      <xdr:rowOff>1782</xdr:rowOff>
    </xdr:to>
    <xdr:pic>
      <xdr:nvPicPr>
        <xdr:cNvPr id="28" name="Picture 27">
          <a:extLst>
            <a:ext uri="{FF2B5EF4-FFF2-40B4-BE49-F238E27FC236}">
              <a16:creationId xmlns:a16="http://schemas.microsoft.com/office/drawing/2014/main" id="{9C308D64-AC57-4347-8010-DC53141437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8451742"/>
          <a:ext cx="565688" cy="222952"/>
        </a:xfrm>
        <a:prstGeom prst="rect">
          <a:avLst/>
        </a:prstGeom>
      </xdr:spPr>
    </xdr:pic>
    <xdr:clientData/>
  </xdr:twoCellAnchor>
  <xdr:twoCellAnchor editAs="oneCell">
    <xdr:from>
      <xdr:col>21</xdr:col>
      <xdr:colOff>2583</xdr:colOff>
      <xdr:row>37</xdr:row>
      <xdr:rowOff>5166</xdr:rowOff>
    </xdr:from>
    <xdr:to>
      <xdr:col>21</xdr:col>
      <xdr:colOff>568271</xdr:colOff>
      <xdr:row>38</xdr:row>
      <xdr:rowOff>1781</xdr:rowOff>
    </xdr:to>
    <xdr:pic>
      <xdr:nvPicPr>
        <xdr:cNvPr id="29" name="Picture 28">
          <a:extLst>
            <a:ext uri="{FF2B5EF4-FFF2-40B4-BE49-F238E27FC236}">
              <a16:creationId xmlns:a16="http://schemas.microsoft.com/office/drawing/2014/main" id="{5F2D9266-78D8-4BEE-B757-48B489E7745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8681634"/>
          <a:ext cx="565688" cy="222952"/>
        </a:xfrm>
        <a:prstGeom prst="rect">
          <a:avLst/>
        </a:prstGeom>
      </xdr:spPr>
    </xdr:pic>
    <xdr:clientData/>
  </xdr:twoCellAnchor>
  <xdr:twoCellAnchor editAs="oneCell">
    <xdr:from>
      <xdr:col>21</xdr:col>
      <xdr:colOff>2583</xdr:colOff>
      <xdr:row>38</xdr:row>
      <xdr:rowOff>5166</xdr:rowOff>
    </xdr:from>
    <xdr:to>
      <xdr:col>21</xdr:col>
      <xdr:colOff>568271</xdr:colOff>
      <xdr:row>39</xdr:row>
      <xdr:rowOff>1782</xdr:rowOff>
    </xdr:to>
    <xdr:pic>
      <xdr:nvPicPr>
        <xdr:cNvPr id="30" name="Picture 29">
          <a:extLst>
            <a:ext uri="{FF2B5EF4-FFF2-40B4-BE49-F238E27FC236}">
              <a16:creationId xmlns:a16="http://schemas.microsoft.com/office/drawing/2014/main" id="{52E1C5FB-5CAC-40C0-86A8-C8216FC252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8911525"/>
          <a:ext cx="565688" cy="222952"/>
        </a:xfrm>
        <a:prstGeom prst="rect">
          <a:avLst/>
        </a:prstGeom>
      </xdr:spPr>
    </xdr:pic>
    <xdr:clientData/>
  </xdr:twoCellAnchor>
  <xdr:twoCellAnchor editAs="oneCell">
    <xdr:from>
      <xdr:col>21</xdr:col>
      <xdr:colOff>2583</xdr:colOff>
      <xdr:row>40</xdr:row>
      <xdr:rowOff>5166</xdr:rowOff>
    </xdr:from>
    <xdr:to>
      <xdr:col>21</xdr:col>
      <xdr:colOff>568271</xdr:colOff>
      <xdr:row>41</xdr:row>
      <xdr:rowOff>1781</xdr:rowOff>
    </xdr:to>
    <xdr:pic>
      <xdr:nvPicPr>
        <xdr:cNvPr id="31" name="Picture 30">
          <a:extLst>
            <a:ext uri="{FF2B5EF4-FFF2-40B4-BE49-F238E27FC236}">
              <a16:creationId xmlns:a16="http://schemas.microsoft.com/office/drawing/2014/main" id="{00EFAAF7-0878-44CE-8786-F38F40A430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9371308"/>
          <a:ext cx="565688" cy="222952"/>
        </a:xfrm>
        <a:prstGeom prst="rect">
          <a:avLst/>
        </a:prstGeom>
      </xdr:spPr>
    </xdr:pic>
    <xdr:clientData/>
  </xdr:twoCellAnchor>
  <xdr:twoCellAnchor editAs="oneCell">
    <xdr:from>
      <xdr:col>21</xdr:col>
      <xdr:colOff>2583</xdr:colOff>
      <xdr:row>41</xdr:row>
      <xdr:rowOff>5166</xdr:rowOff>
    </xdr:from>
    <xdr:to>
      <xdr:col>21</xdr:col>
      <xdr:colOff>568271</xdr:colOff>
      <xdr:row>42</xdr:row>
      <xdr:rowOff>1782</xdr:rowOff>
    </xdr:to>
    <xdr:pic>
      <xdr:nvPicPr>
        <xdr:cNvPr id="32" name="Picture 31">
          <a:extLst>
            <a:ext uri="{FF2B5EF4-FFF2-40B4-BE49-F238E27FC236}">
              <a16:creationId xmlns:a16="http://schemas.microsoft.com/office/drawing/2014/main" id="{21F04134-3778-4BB2-9574-F71BFCFEA2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9601200"/>
          <a:ext cx="565688" cy="222952"/>
        </a:xfrm>
        <a:prstGeom prst="rect">
          <a:avLst/>
        </a:prstGeom>
      </xdr:spPr>
    </xdr:pic>
    <xdr:clientData/>
  </xdr:twoCellAnchor>
  <xdr:twoCellAnchor editAs="oneCell">
    <xdr:from>
      <xdr:col>21</xdr:col>
      <xdr:colOff>2583</xdr:colOff>
      <xdr:row>42</xdr:row>
      <xdr:rowOff>5166</xdr:rowOff>
    </xdr:from>
    <xdr:to>
      <xdr:col>21</xdr:col>
      <xdr:colOff>568271</xdr:colOff>
      <xdr:row>43</xdr:row>
      <xdr:rowOff>1781</xdr:rowOff>
    </xdr:to>
    <xdr:pic>
      <xdr:nvPicPr>
        <xdr:cNvPr id="33" name="Picture 32">
          <a:extLst>
            <a:ext uri="{FF2B5EF4-FFF2-40B4-BE49-F238E27FC236}">
              <a16:creationId xmlns:a16="http://schemas.microsoft.com/office/drawing/2014/main" id="{94D819C5-51DA-402F-993D-CAC4BCAEA88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9831091"/>
          <a:ext cx="565688" cy="222952"/>
        </a:xfrm>
        <a:prstGeom prst="rect">
          <a:avLst/>
        </a:prstGeom>
      </xdr:spPr>
    </xdr:pic>
    <xdr:clientData/>
  </xdr:twoCellAnchor>
  <xdr:twoCellAnchor editAs="oneCell">
    <xdr:from>
      <xdr:col>21</xdr:col>
      <xdr:colOff>2583</xdr:colOff>
      <xdr:row>43</xdr:row>
      <xdr:rowOff>5166</xdr:rowOff>
    </xdr:from>
    <xdr:to>
      <xdr:col>21</xdr:col>
      <xdr:colOff>568271</xdr:colOff>
      <xdr:row>44</xdr:row>
      <xdr:rowOff>1781</xdr:rowOff>
    </xdr:to>
    <xdr:pic>
      <xdr:nvPicPr>
        <xdr:cNvPr id="34" name="Picture 33">
          <a:extLst>
            <a:ext uri="{FF2B5EF4-FFF2-40B4-BE49-F238E27FC236}">
              <a16:creationId xmlns:a16="http://schemas.microsoft.com/office/drawing/2014/main" id="{A1AC8BF2-6BE1-4028-8E15-2FE0A976C3A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0060983"/>
          <a:ext cx="565688" cy="222952"/>
        </a:xfrm>
        <a:prstGeom prst="rect">
          <a:avLst/>
        </a:prstGeom>
      </xdr:spPr>
    </xdr:pic>
    <xdr:clientData/>
  </xdr:twoCellAnchor>
  <xdr:twoCellAnchor editAs="oneCell">
    <xdr:from>
      <xdr:col>21</xdr:col>
      <xdr:colOff>2583</xdr:colOff>
      <xdr:row>44</xdr:row>
      <xdr:rowOff>5166</xdr:rowOff>
    </xdr:from>
    <xdr:to>
      <xdr:col>21</xdr:col>
      <xdr:colOff>568271</xdr:colOff>
      <xdr:row>45</xdr:row>
      <xdr:rowOff>1782</xdr:rowOff>
    </xdr:to>
    <xdr:pic>
      <xdr:nvPicPr>
        <xdr:cNvPr id="35" name="Picture 34">
          <a:extLst>
            <a:ext uri="{FF2B5EF4-FFF2-40B4-BE49-F238E27FC236}">
              <a16:creationId xmlns:a16="http://schemas.microsoft.com/office/drawing/2014/main" id="{7C7AFB7E-B61B-4A84-8739-A19126D27F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0290874"/>
          <a:ext cx="565688" cy="222952"/>
        </a:xfrm>
        <a:prstGeom prst="rect">
          <a:avLst/>
        </a:prstGeom>
      </xdr:spPr>
    </xdr:pic>
    <xdr:clientData/>
  </xdr:twoCellAnchor>
  <xdr:twoCellAnchor editAs="oneCell">
    <xdr:from>
      <xdr:col>21</xdr:col>
      <xdr:colOff>2583</xdr:colOff>
      <xdr:row>45</xdr:row>
      <xdr:rowOff>5166</xdr:rowOff>
    </xdr:from>
    <xdr:to>
      <xdr:col>21</xdr:col>
      <xdr:colOff>568271</xdr:colOff>
      <xdr:row>46</xdr:row>
      <xdr:rowOff>1781</xdr:rowOff>
    </xdr:to>
    <xdr:pic>
      <xdr:nvPicPr>
        <xdr:cNvPr id="36" name="Picture 35">
          <a:extLst>
            <a:ext uri="{FF2B5EF4-FFF2-40B4-BE49-F238E27FC236}">
              <a16:creationId xmlns:a16="http://schemas.microsoft.com/office/drawing/2014/main" id="{D1D3B36E-4F29-4E5C-8290-5BC39B67A0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0520766"/>
          <a:ext cx="565688" cy="222952"/>
        </a:xfrm>
        <a:prstGeom prst="rect">
          <a:avLst/>
        </a:prstGeom>
      </xdr:spPr>
    </xdr:pic>
    <xdr:clientData/>
  </xdr:twoCellAnchor>
  <xdr:twoCellAnchor editAs="oneCell">
    <xdr:from>
      <xdr:col>21</xdr:col>
      <xdr:colOff>2583</xdr:colOff>
      <xdr:row>46</xdr:row>
      <xdr:rowOff>5166</xdr:rowOff>
    </xdr:from>
    <xdr:to>
      <xdr:col>21</xdr:col>
      <xdr:colOff>568271</xdr:colOff>
      <xdr:row>47</xdr:row>
      <xdr:rowOff>1781</xdr:rowOff>
    </xdr:to>
    <xdr:pic>
      <xdr:nvPicPr>
        <xdr:cNvPr id="37" name="Picture 36">
          <a:extLst>
            <a:ext uri="{FF2B5EF4-FFF2-40B4-BE49-F238E27FC236}">
              <a16:creationId xmlns:a16="http://schemas.microsoft.com/office/drawing/2014/main" id="{4BC37B07-48A5-400D-A3EA-8914B18D577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0750658"/>
          <a:ext cx="565688" cy="222952"/>
        </a:xfrm>
        <a:prstGeom prst="rect">
          <a:avLst/>
        </a:prstGeom>
      </xdr:spPr>
    </xdr:pic>
    <xdr:clientData/>
  </xdr:twoCellAnchor>
  <xdr:twoCellAnchor editAs="oneCell">
    <xdr:from>
      <xdr:col>21</xdr:col>
      <xdr:colOff>2583</xdr:colOff>
      <xdr:row>47</xdr:row>
      <xdr:rowOff>5166</xdr:rowOff>
    </xdr:from>
    <xdr:to>
      <xdr:col>21</xdr:col>
      <xdr:colOff>568271</xdr:colOff>
      <xdr:row>48</xdr:row>
      <xdr:rowOff>1782</xdr:rowOff>
    </xdr:to>
    <xdr:pic>
      <xdr:nvPicPr>
        <xdr:cNvPr id="38" name="Picture 37">
          <a:extLst>
            <a:ext uri="{FF2B5EF4-FFF2-40B4-BE49-F238E27FC236}">
              <a16:creationId xmlns:a16="http://schemas.microsoft.com/office/drawing/2014/main" id="{8273FCCA-D560-4B12-BB08-A871654358B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0980549"/>
          <a:ext cx="565688" cy="222952"/>
        </a:xfrm>
        <a:prstGeom prst="rect">
          <a:avLst/>
        </a:prstGeom>
      </xdr:spPr>
    </xdr:pic>
    <xdr:clientData/>
  </xdr:twoCellAnchor>
  <xdr:twoCellAnchor editAs="oneCell">
    <xdr:from>
      <xdr:col>21</xdr:col>
      <xdr:colOff>2583</xdr:colOff>
      <xdr:row>50</xdr:row>
      <xdr:rowOff>5166</xdr:rowOff>
    </xdr:from>
    <xdr:to>
      <xdr:col>21</xdr:col>
      <xdr:colOff>568271</xdr:colOff>
      <xdr:row>51</xdr:row>
      <xdr:rowOff>1781</xdr:rowOff>
    </xdr:to>
    <xdr:pic>
      <xdr:nvPicPr>
        <xdr:cNvPr id="39" name="Picture 38">
          <a:extLst>
            <a:ext uri="{FF2B5EF4-FFF2-40B4-BE49-F238E27FC236}">
              <a16:creationId xmlns:a16="http://schemas.microsoft.com/office/drawing/2014/main" id="{A0795BCC-BAE0-456C-9B7D-3E34BE0530F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1670224"/>
          <a:ext cx="565688" cy="222952"/>
        </a:xfrm>
        <a:prstGeom prst="rect">
          <a:avLst/>
        </a:prstGeom>
      </xdr:spPr>
    </xdr:pic>
    <xdr:clientData/>
  </xdr:twoCellAnchor>
  <xdr:twoCellAnchor editAs="oneCell">
    <xdr:from>
      <xdr:col>21</xdr:col>
      <xdr:colOff>2583</xdr:colOff>
      <xdr:row>51</xdr:row>
      <xdr:rowOff>5166</xdr:rowOff>
    </xdr:from>
    <xdr:to>
      <xdr:col>21</xdr:col>
      <xdr:colOff>568271</xdr:colOff>
      <xdr:row>52</xdr:row>
      <xdr:rowOff>1781</xdr:rowOff>
    </xdr:to>
    <xdr:pic>
      <xdr:nvPicPr>
        <xdr:cNvPr id="40" name="Picture 39">
          <a:extLst>
            <a:ext uri="{FF2B5EF4-FFF2-40B4-BE49-F238E27FC236}">
              <a16:creationId xmlns:a16="http://schemas.microsoft.com/office/drawing/2014/main" id="{90144078-8FED-4832-9376-A081BCFD69A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1900115"/>
          <a:ext cx="565688" cy="222952"/>
        </a:xfrm>
        <a:prstGeom prst="rect">
          <a:avLst/>
        </a:prstGeom>
      </xdr:spPr>
    </xdr:pic>
    <xdr:clientData/>
  </xdr:twoCellAnchor>
  <xdr:twoCellAnchor editAs="oneCell">
    <xdr:from>
      <xdr:col>21</xdr:col>
      <xdr:colOff>2583</xdr:colOff>
      <xdr:row>56</xdr:row>
      <xdr:rowOff>5166</xdr:rowOff>
    </xdr:from>
    <xdr:to>
      <xdr:col>21</xdr:col>
      <xdr:colOff>568271</xdr:colOff>
      <xdr:row>57</xdr:row>
      <xdr:rowOff>1781</xdr:rowOff>
    </xdr:to>
    <xdr:pic>
      <xdr:nvPicPr>
        <xdr:cNvPr id="41" name="Picture 40">
          <a:extLst>
            <a:ext uri="{FF2B5EF4-FFF2-40B4-BE49-F238E27FC236}">
              <a16:creationId xmlns:a16="http://schemas.microsoft.com/office/drawing/2014/main" id="{4C648111-9941-4EB0-A599-1DAFDD97183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3049573"/>
          <a:ext cx="565688" cy="222952"/>
        </a:xfrm>
        <a:prstGeom prst="rect">
          <a:avLst/>
        </a:prstGeom>
      </xdr:spPr>
    </xdr:pic>
    <xdr:clientData/>
  </xdr:twoCellAnchor>
  <xdr:twoCellAnchor editAs="oneCell">
    <xdr:from>
      <xdr:col>21</xdr:col>
      <xdr:colOff>2583</xdr:colOff>
      <xdr:row>58</xdr:row>
      <xdr:rowOff>5166</xdr:rowOff>
    </xdr:from>
    <xdr:to>
      <xdr:col>21</xdr:col>
      <xdr:colOff>568271</xdr:colOff>
      <xdr:row>59</xdr:row>
      <xdr:rowOff>1782</xdr:rowOff>
    </xdr:to>
    <xdr:pic>
      <xdr:nvPicPr>
        <xdr:cNvPr id="42" name="Picture 41">
          <a:extLst>
            <a:ext uri="{FF2B5EF4-FFF2-40B4-BE49-F238E27FC236}">
              <a16:creationId xmlns:a16="http://schemas.microsoft.com/office/drawing/2014/main" id="{C74565EF-75BC-4722-8812-7683B5834C1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3509356"/>
          <a:ext cx="565688" cy="222952"/>
        </a:xfrm>
        <a:prstGeom prst="rect">
          <a:avLst/>
        </a:prstGeom>
      </xdr:spPr>
    </xdr:pic>
    <xdr:clientData/>
  </xdr:twoCellAnchor>
  <xdr:twoCellAnchor editAs="oneCell">
    <xdr:from>
      <xdr:col>21</xdr:col>
      <xdr:colOff>2583</xdr:colOff>
      <xdr:row>59</xdr:row>
      <xdr:rowOff>5166</xdr:rowOff>
    </xdr:from>
    <xdr:to>
      <xdr:col>21</xdr:col>
      <xdr:colOff>568271</xdr:colOff>
      <xdr:row>60</xdr:row>
      <xdr:rowOff>1781</xdr:rowOff>
    </xdr:to>
    <xdr:pic>
      <xdr:nvPicPr>
        <xdr:cNvPr id="43" name="Picture 42">
          <a:extLst>
            <a:ext uri="{FF2B5EF4-FFF2-40B4-BE49-F238E27FC236}">
              <a16:creationId xmlns:a16="http://schemas.microsoft.com/office/drawing/2014/main" id="{5D54AFBD-60E0-49B8-9E0D-A702EC6324C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3739247"/>
          <a:ext cx="565688" cy="222952"/>
        </a:xfrm>
        <a:prstGeom prst="rect">
          <a:avLst/>
        </a:prstGeom>
      </xdr:spPr>
    </xdr:pic>
    <xdr:clientData/>
  </xdr:twoCellAnchor>
  <xdr:twoCellAnchor editAs="oneCell">
    <xdr:from>
      <xdr:col>21</xdr:col>
      <xdr:colOff>2583</xdr:colOff>
      <xdr:row>60</xdr:row>
      <xdr:rowOff>5166</xdr:rowOff>
    </xdr:from>
    <xdr:to>
      <xdr:col>21</xdr:col>
      <xdr:colOff>568271</xdr:colOff>
      <xdr:row>61</xdr:row>
      <xdr:rowOff>1782</xdr:rowOff>
    </xdr:to>
    <xdr:pic>
      <xdr:nvPicPr>
        <xdr:cNvPr id="44" name="Picture 43">
          <a:extLst>
            <a:ext uri="{FF2B5EF4-FFF2-40B4-BE49-F238E27FC236}">
              <a16:creationId xmlns:a16="http://schemas.microsoft.com/office/drawing/2014/main" id="{9DCE0CD3-A831-4F0B-A43D-625E38098E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3969139"/>
          <a:ext cx="565688" cy="222952"/>
        </a:xfrm>
        <a:prstGeom prst="rect">
          <a:avLst/>
        </a:prstGeom>
      </xdr:spPr>
    </xdr:pic>
    <xdr:clientData/>
  </xdr:twoCellAnchor>
  <xdr:twoCellAnchor editAs="oneCell">
    <xdr:from>
      <xdr:col>21</xdr:col>
      <xdr:colOff>2583</xdr:colOff>
      <xdr:row>61</xdr:row>
      <xdr:rowOff>5166</xdr:rowOff>
    </xdr:from>
    <xdr:to>
      <xdr:col>21</xdr:col>
      <xdr:colOff>568271</xdr:colOff>
      <xdr:row>62</xdr:row>
      <xdr:rowOff>1781</xdr:rowOff>
    </xdr:to>
    <xdr:pic>
      <xdr:nvPicPr>
        <xdr:cNvPr id="45" name="Picture 44">
          <a:extLst>
            <a:ext uri="{FF2B5EF4-FFF2-40B4-BE49-F238E27FC236}">
              <a16:creationId xmlns:a16="http://schemas.microsoft.com/office/drawing/2014/main" id="{EA98C1D3-F8C7-4FB9-83D8-5DE853525CE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4199030"/>
          <a:ext cx="565688" cy="222952"/>
        </a:xfrm>
        <a:prstGeom prst="rect">
          <a:avLst/>
        </a:prstGeom>
      </xdr:spPr>
    </xdr:pic>
    <xdr:clientData/>
  </xdr:twoCellAnchor>
  <xdr:twoCellAnchor editAs="oneCell">
    <xdr:from>
      <xdr:col>21</xdr:col>
      <xdr:colOff>2583</xdr:colOff>
      <xdr:row>62</xdr:row>
      <xdr:rowOff>5166</xdr:rowOff>
    </xdr:from>
    <xdr:to>
      <xdr:col>21</xdr:col>
      <xdr:colOff>568271</xdr:colOff>
      <xdr:row>63</xdr:row>
      <xdr:rowOff>1781</xdr:rowOff>
    </xdr:to>
    <xdr:pic>
      <xdr:nvPicPr>
        <xdr:cNvPr id="46" name="Picture 45">
          <a:extLst>
            <a:ext uri="{FF2B5EF4-FFF2-40B4-BE49-F238E27FC236}">
              <a16:creationId xmlns:a16="http://schemas.microsoft.com/office/drawing/2014/main" id="{FCD6A1F6-CF9D-4032-A12C-97E9F0E9344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4428922"/>
          <a:ext cx="565688" cy="222952"/>
        </a:xfrm>
        <a:prstGeom prst="rect">
          <a:avLst/>
        </a:prstGeom>
      </xdr:spPr>
    </xdr:pic>
    <xdr:clientData/>
  </xdr:twoCellAnchor>
  <xdr:twoCellAnchor editAs="oneCell">
    <xdr:from>
      <xdr:col>21</xdr:col>
      <xdr:colOff>2583</xdr:colOff>
      <xdr:row>63</xdr:row>
      <xdr:rowOff>5166</xdr:rowOff>
    </xdr:from>
    <xdr:to>
      <xdr:col>21</xdr:col>
      <xdr:colOff>568271</xdr:colOff>
      <xdr:row>64</xdr:row>
      <xdr:rowOff>1782</xdr:rowOff>
    </xdr:to>
    <xdr:pic>
      <xdr:nvPicPr>
        <xdr:cNvPr id="47" name="Picture 46">
          <a:extLst>
            <a:ext uri="{FF2B5EF4-FFF2-40B4-BE49-F238E27FC236}">
              <a16:creationId xmlns:a16="http://schemas.microsoft.com/office/drawing/2014/main" id="{0744A28F-04A6-4B2E-9A2C-E52859971E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4658813"/>
          <a:ext cx="565688" cy="222952"/>
        </a:xfrm>
        <a:prstGeom prst="rect">
          <a:avLst/>
        </a:prstGeom>
      </xdr:spPr>
    </xdr:pic>
    <xdr:clientData/>
  </xdr:twoCellAnchor>
  <xdr:twoCellAnchor editAs="oneCell">
    <xdr:from>
      <xdr:col>21</xdr:col>
      <xdr:colOff>2583</xdr:colOff>
      <xdr:row>65</xdr:row>
      <xdr:rowOff>5166</xdr:rowOff>
    </xdr:from>
    <xdr:to>
      <xdr:col>21</xdr:col>
      <xdr:colOff>568271</xdr:colOff>
      <xdr:row>66</xdr:row>
      <xdr:rowOff>1781</xdr:rowOff>
    </xdr:to>
    <xdr:pic>
      <xdr:nvPicPr>
        <xdr:cNvPr id="48" name="Picture 47">
          <a:extLst>
            <a:ext uri="{FF2B5EF4-FFF2-40B4-BE49-F238E27FC236}">
              <a16:creationId xmlns:a16="http://schemas.microsoft.com/office/drawing/2014/main" id="{FE58E70C-10C2-490F-9817-C12FB704552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5118597"/>
          <a:ext cx="565688" cy="222952"/>
        </a:xfrm>
        <a:prstGeom prst="rect">
          <a:avLst/>
        </a:prstGeom>
      </xdr:spPr>
    </xdr:pic>
    <xdr:clientData/>
  </xdr:twoCellAnchor>
  <xdr:twoCellAnchor editAs="oneCell">
    <xdr:from>
      <xdr:col>21</xdr:col>
      <xdr:colOff>2583</xdr:colOff>
      <xdr:row>67</xdr:row>
      <xdr:rowOff>5166</xdr:rowOff>
    </xdr:from>
    <xdr:to>
      <xdr:col>21</xdr:col>
      <xdr:colOff>568271</xdr:colOff>
      <xdr:row>68</xdr:row>
      <xdr:rowOff>1781</xdr:rowOff>
    </xdr:to>
    <xdr:pic>
      <xdr:nvPicPr>
        <xdr:cNvPr id="49" name="Picture 48">
          <a:extLst>
            <a:ext uri="{FF2B5EF4-FFF2-40B4-BE49-F238E27FC236}">
              <a16:creationId xmlns:a16="http://schemas.microsoft.com/office/drawing/2014/main" id="{79981769-DDB2-4800-BA3E-56688A82F09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5578380"/>
          <a:ext cx="565688" cy="222952"/>
        </a:xfrm>
        <a:prstGeom prst="rect">
          <a:avLst/>
        </a:prstGeom>
      </xdr:spPr>
    </xdr:pic>
    <xdr:clientData/>
  </xdr:twoCellAnchor>
  <xdr:twoCellAnchor editAs="oneCell">
    <xdr:from>
      <xdr:col>21</xdr:col>
      <xdr:colOff>2583</xdr:colOff>
      <xdr:row>70</xdr:row>
      <xdr:rowOff>5166</xdr:rowOff>
    </xdr:from>
    <xdr:to>
      <xdr:col>21</xdr:col>
      <xdr:colOff>568271</xdr:colOff>
      <xdr:row>71</xdr:row>
      <xdr:rowOff>1781</xdr:rowOff>
    </xdr:to>
    <xdr:pic>
      <xdr:nvPicPr>
        <xdr:cNvPr id="50" name="Picture 49">
          <a:extLst>
            <a:ext uri="{FF2B5EF4-FFF2-40B4-BE49-F238E27FC236}">
              <a16:creationId xmlns:a16="http://schemas.microsoft.com/office/drawing/2014/main" id="{E627FC2B-296F-4259-B139-1EE0583BAF3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6268054"/>
          <a:ext cx="565688" cy="222952"/>
        </a:xfrm>
        <a:prstGeom prst="rect">
          <a:avLst/>
        </a:prstGeom>
      </xdr:spPr>
    </xdr:pic>
    <xdr:clientData/>
  </xdr:twoCellAnchor>
  <xdr:twoCellAnchor editAs="oneCell">
    <xdr:from>
      <xdr:col>21</xdr:col>
      <xdr:colOff>2583</xdr:colOff>
      <xdr:row>71</xdr:row>
      <xdr:rowOff>5166</xdr:rowOff>
    </xdr:from>
    <xdr:to>
      <xdr:col>21</xdr:col>
      <xdr:colOff>568271</xdr:colOff>
      <xdr:row>72</xdr:row>
      <xdr:rowOff>1782</xdr:rowOff>
    </xdr:to>
    <xdr:pic>
      <xdr:nvPicPr>
        <xdr:cNvPr id="51" name="Picture 50">
          <a:extLst>
            <a:ext uri="{FF2B5EF4-FFF2-40B4-BE49-F238E27FC236}">
              <a16:creationId xmlns:a16="http://schemas.microsoft.com/office/drawing/2014/main" id="{D4F7ADD0-9284-4FF8-8E51-D4B6426F123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657871" y="16497946"/>
          <a:ext cx="565688" cy="22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359074</xdr:colOff>
      <xdr:row>2</xdr:row>
      <xdr:rowOff>2953</xdr:rowOff>
    </xdr:from>
    <xdr:to>
      <xdr:col>3</xdr:col>
      <xdr:colOff>2187874</xdr:colOff>
      <xdr:row>14</xdr:row>
      <xdr:rowOff>60298</xdr:rowOff>
    </xdr:to>
    <mc:AlternateContent xmlns:mc="http://schemas.openxmlformats.org/markup-compatibility/2006" xmlns:a14="http://schemas.microsoft.com/office/drawing/2010/main">
      <mc:Choice Requires="a14">
        <xdr:graphicFrame macro="">
          <xdr:nvGraphicFramePr>
            <xdr:cNvPr id="2" name="S.N. 2">
              <a:extLst>
                <a:ext uri="{FF2B5EF4-FFF2-40B4-BE49-F238E27FC236}">
                  <a16:creationId xmlns:a16="http://schemas.microsoft.com/office/drawing/2014/main" id="{A70E9D1D-A871-DFCE-805B-CC8A02B12A98}"/>
                </a:ext>
              </a:extLst>
            </xdr:cNvPr>
            <xdr:cNvGraphicFramePr/>
          </xdr:nvGraphicFramePr>
          <xdr:xfrm>
            <a:off x="0" y="0"/>
            <a:ext cx="0" cy="0"/>
          </xdr:xfrm>
          <a:graphic>
            <a:graphicData uri="http://schemas.microsoft.com/office/drawing/2010/slicer">
              <sle:slicer xmlns:sle="http://schemas.microsoft.com/office/drawing/2010/slicer" name="S.N. 2"/>
            </a:graphicData>
          </a:graphic>
        </xdr:graphicFrame>
      </mc:Choice>
      <mc:Fallback xmlns="">
        <xdr:sp macro="" textlink="">
          <xdr:nvSpPr>
            <xdr:cNvPr id="0" name=""/>
            <xdr:cNvSpPr>
              <a:spLocks noTextEdit="1"/>
            </xdr:cNvSpPr>
          </xdr:nvSpPr>
          <xdr:spPr>
            <a:xfrm>
              <a:off x="5941890" y="453933"/>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22705</xdr:colOff>
      <xdr:row>1</xdr:row>
      <xdr:rowOff>218646</xdr:rowOff>
    </xdr:from>
    <xdr:to>
      <xdr:col>5</xdr:col>
      <xdr:colOff>514117</xdr:colOff>
      <xdr:row>14</xdr:row>
      <xdr:rowOff>50501</xdr:rowOff>
    </xdr:to>
    <mc:AlternateContent xmlns:mc="http://schemas.openxmlformats.org/markup-compatibility/2006" xmlns:a14="http://schemas.microsoft.com/office/drawing/2010/main">
      <mc:Choice Requires="a14">
        <xdr:graphicFrame macro="">
          <xdr:nvGraphicFramePr>
            <xdr:cNvPr id="3" name="Party">
              <a:extLst>
                <a:ext uri="{FF2B5EF4-FFF2-40B4-BE49-F238E27FC236}">
                  <a16:creationId xmlns:a16="http://schemas.microsoft.com/office/drawing/2014/main" id="{A802068B-3CE7-B23E-C7D3-BFC76A19937C}"/>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7837093" y="444136"/>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1316676</xdr:colOff>
      <xdr:row>2</xdr:row>
      <xdr:rowOff>15089</xdr:rowOff>
    </xdr:from>
    <xdr:to>
      <xdr:col>4</xdr:col>
      <xdr:colOff>1205544</xdr:colOff>
      <xdr:row>12</xdr:row>
      <xdr:rowOff>140567</xdr:rowOff>
    </xdr:to>
    <mc:AlternateContent xmlns:mc="http://schemas.openxmlformats.org/markup-compatibility/2006" xmlns:a14="http://schemas.microsoft.com/office/drawing/2010/main">
      <mc:Choice Requires="a14">
        <xdr:graphicFrame macro="">
          <xdr:nvGraphicFramePr>
            <xdr:cNvPr id="4" name="S.N.">
              <a:extLst>
                <a:ext uri="{FF2B5EF4-FFF2-40B4-BE49-F238E27FC236}">
                  <a16:creationId xmlns:a16="http://schemas.microsoft.com/office/drawing/2014/main" id="{F99D158B-BBFD-0892-41A9-F5194F83AD05}"/>
                </a:ext>
              </a:extLst>
            </xdr:cNvPr>
            <xdr:cNvGraphicFramePr/>
          </xdr:nvGraphicFramePr>
          <xdr:xfrm>
            <a:off x="0" y="0"/>
            <a:ext cx="0" cy="0"/>
          </xdr:xfrm>
          <a:graphic>
            <a:graphicData uri="http://schemas.microsoft.com/office/drawing/2010/slicer">
              <sle:slicer xmlns:sle="http://schemas.microsoft.com/office/drawing/2010/slicer" name="S.N."/>
            </a:graphicData>
          </a:graphic>
        </xdr:graphicFrame>
      </mc:Choice>
      <mc:Fallback xmlns="">
        <xdr:sp macro="" textlink="">
          <xdr:nvSpPr>
            <xdr:cNvPr id="0" name=""/>
            <xdr:cNvSpPr>
              <a:spLocks noTextEdit="1"/>
            </xdr:cNvSpPr>
          </xdr:nvSpPr>
          <xdr:spPr>
            <a:xfrm>
              <a:off x="6907437" y="478915"/>
              <a:ext cx="1835281" cy="2444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79642</xdr:colOff>
      <xdr:row>2</xdr:row>
      <xdr:rowOff>11799</xdr:rowOff>
    </xdr:from>
    <xdr:to>
      <xdr:col>8</xdr:col>
      <xdr:colOff>64892</xdr:colOff>
      <xdr:row>12</xdr:row>
      <xdr:rowOff>144379</xdr:rowOff>
    </xdr:to>
    <mc:AlternateContent xmlns:mc="http://schemas.openxmlformats.org/markup-compatibility/2006" xmlns:a14="http://schemas.microsoft.com/office/drawing/2010/main">
      <mc:Choice Requires="a14">
        <xdr:graphicFrame macro="">
          <xdr:nvGraphicFramePr>
            <xdr:cNvPr id="7" name="Constituency">
              <a:extLst>
                <a:ext uri="{FF2B5EF4-FFF2-40B4-BE49-F238E27FC236}">
                  <a16:creationId xmlns:a16="http://schemas.microsoft.com/office/drawing/2014/main" id="{7A62C065-2744-88CC-C89A-C105C6F9DE61}"/>
                </a:ext>
              </a:extLst>
            </xdr:cNvPr>
            <xdr:cNvGraphicFramePr/>
          </xdr:nvGraphicFramePr>
          <xdr:xfrm>
            <a:off x="0" y="0"/>
            <a:ext cx="0" cy="0"/>
          </xdr:xfrm>
          <a:graphic>
            <a:graphicData uri="http://schemas.microsoft.com/office/drawing/2010/slicer">
              <sle:slicer xmlns:sle="http://schemas.microsoft.com/office/drawing/2010/slicer" name="Constituency"/>
            </a:graphicData>
          </a:graphic>
        </xdr:graphicFrame>
      </mc:Choice>
      <mc:Fallback xmlns="">
        <xdr:sp macro="" textlink="">
          <xdr:nvSpPr>
            <xdr:cNvPr id="0" name=""/>
            <xdr:cNvSpPr>
              <a:spLocks noTextEdit="1"/>
            </xdr:cNvSpPr>
          </xdr:nvSpPr>
          <xdr:spPr>
            <a:xfrm>
              <a:off x="8917185" y="475625"/>
              <a:ext cx="1823990" cy="2451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553101</xdr:colOff>
      <xdr:row>2</xdr:row>
      <xdr:rowOff>32896</xdr:rowOff>
    </xdr:from>
    <xdr:to>
      <xdr:col>8</xdr:col>
      <xdr:colOff>541949</xdr:colOff>
      <xdr:row>14</xdr:row>
      <xdr:rowOff>54966</xdr:rowOff>
    </xdr:to>
    <mc:AlternateContent xmlns:mc="http://schemas.openxmlformats.org/markup-compatibility/2006" xmlns:a14="http://schemas.microsoft.com/office/drawing/2010/main">
      <mc:Choice Requires="a14">
        <xdr:graphicFrame macro="">
          <xdr:nvGraphicFramePr>
            <xdr:cNvPr id="2" name="S.N. 1">
              <a:extLst>
                <a:ext uri="{FF2B5EF4-FFF2-40B4-BE49-F238E27FC236}">
                  <a16:creationId xmlns:a16="http://schemas.microsoft.com/office/drawing/2014/main" id="{5059779A-EC20-E335-F6AF-FE145A7F17F5}"/>
                </a:ext>
              </a:extLst>
            </xdr:cNvPr>
            <xdr:cNvGraphicFramePr/>
          </xdr:nvGraphicFramePr>
          <xdr:xfrm>
            <a:off x="0" y="0"/>
            <a:ext cx="0" cy="0"/>
          </xdr:xfrm>
          <a:graphic>
            <a:graphicData uri="http://schemas.microsoft.com/office/drawing/2010/slicer">
              <sle:slicer xmlns:sle="http://schemas.microsoft.com/office/drawing/2010/slicer" name="S.N. 1"/>
            </a:graphicData>
          </a:graphic>
        </xdr:graphicFrame>
      </mc:Choice>
      <mc:Fallback xmlns="">
        <xdr:sp macro="" textlink="">
          <xdr:nvSpPr>
            <xdr:cNvPr id="0" name=""/>
            <xdr:cNvSpPr>
              <a:spLocks noTextEdit="1"/>
            </xdr:cNvSpPr>
          </xdr:nvSpPr>
          <xdr:spPr>
            <a:xfrm>
              <a:off x="7013536" y="496722"/>
              <a:ext cx="1827587" cy="2805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10965</xdr:colOff>
      <xdr:row>2</xdr:row>
      <xdr:rowOff>29737</xdr:rowOff>
    </xdr:from>
    <xdr:to>
      <xdr:col>12</xdr:col>
      <xdr:colOff>1943</xdr:colOff>
      <xdr:row>14</xdr:row>
      <xdr:rowOff>51807</xdr:rowOff>
    </xdr:to>
    <mc:AlternateContent xmlns:mc="http://schemas.openxmlformats.org/markup-compatibility/2006" xmlns:a14="http://schemas.microsoft.com/office/drawing/2010/main">
      <mc:Choice Requires="a14">
        <xdr:graphicFrame macro="">
          <xdr:nvGraphicFramePr>
            <xdr:cNvPr id="3" name="Constituency 1">
              <a:extLst>
                <a:ext uri="{FF2B5EF4-FFF2-40B4-BE49-F238E27FC236}">
                  <a16:creationId xmlns:a16="http://schemas.microsoft.com/office/drawing/2014/main" id="{62FD3F95-C6EC-E34D-A2D0-DC79854BFCE6}"/>
                </a:ext>
              </a:extLst>
            </xdr:cNvPr>
            <xdr:cNvGraphicFramePr/>
          </xdr:nvGraphicFramePr>
          <xdr:xfrm>
            <a:off x="0" y="0"/>
            <a:ext cx="0" cy="0"/>
          </xdr:xfrm>
          <a:graphic>
            <a:graphicData uri="http://schemas.microsoft.com/office/drawing/2010/slicer">
              <sle:slicer xmlns:sle="http://schemas.microsoft.com/office/drawing/2010/slicer" name="Constituency 1"/>
            </a:graphicData>
          </a:graphic>
        </xdr:graphicFrame>
      </mc:Choice>
      <mc:Fallback xmlns="">
        <xdr:sp macro="" textlink="">
          <xdr:nvSpPr>
            <xdr:cNvPr id="0" name=""/>
            <xdr:cNvSpPr>
              <a:spLocks noTextEdit="1"/>
            </xdr:cNvSpPr>
          </xdr:nvSpPr>
          <xdr:spPr>
            <a:xfrm>
              <a:off x="8923052" y="493563"/>
              <a:ext cx="1829717" cy="2805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594360</xdr:colOff>
      <xdr:row>2</xdr:row>
      <xdr:rowOff>15240</xdr:rowOff>
    </xdr:from>
    <xdr:to>
      <xdr:col>8</xdr:col>
      <xdr:colOff>594360</xdr:colOff>
      <xdr:row>13</xdr:row>
      <xdr:rowOff>225848</xdr:rowOff>
    </xdr:to>
    <mc:AlternateContent xmlns:mc="http://schemas.openxmlformats.org/markup-compatibility/2006" xmlns:a14="http://schemas.microsoft.com/office/drawing/2010/main">
      <mc:Choice Requires="a14">
        <xdr:graphicFrame macro="">
          <xdr:nvGraphicFramePr>
            <xdr:cNvPr id="2" name="Constituency(W.No.)">
              <a:extLst>
                <a:ext uri="{FF2B5EF4-FFF2-40B4-BE49-F238E27FC236}">
                  <a16:creationId xmlns:a16="http://schemas.microsoft.com/office/drawing/2014/main" id="{9F90BE81-241E-B299-D2C2-0350B82C3780}"/>
                </a:ext>
              </a:extLst>
            </xdr:cNvPr>
            <xdr:cNvGraphicFramePr/>
          </xdr:nvGraphicFramePr>
          <xdr:xfrm>
            <a:off x="0" y="0"/>
            <a:ext cx="0" cy="0"/>
          </xdr:xfrm>
          <a:graphic>
            <a:graphicData uri="http://schemas.microsoft.com/office/drawing/2010/slicer">
              <sle:slicer xmlns:sle="http://schemas.microsoft.com/office/drawing/2010/slicer" name="Constituency(W.No.)"/>
            </a:graphicData>
          </a:graphic>
        </xdr:graphicFrame>
      </mc:Choice>
      <mc:Fallback xmlns="">
        <xdr:sp macro="" textlink="">
          <xdr:nvSpPr>
            <xdr:cNvPr id="0" name=""/>
            <xdr:cNvSpPr>
              <a:spLocks noTextEdit="1"/>
            </xdr:cNvSpPr>
          </xdr:nvSpPr>
          <xdr:spPr>
            <a:xfrm>
              <a:off x="9992360" y="616373"/>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2</xdr:row>
      <xdr:rowOff>15240</xdr:rowOff>
    </xdr:from>
    <xdr:to>
      <xdr:col>12</xdr:col>
      <xdr:colOff>220980</xdr:colOff>
      <xdr:row>13</xdr:row>
      <xdr:rowOff>225848</xdr:rowOff>
    </xdr:to>
    <mc:AlternateContent xmlns:mc="http://schemas.openxmlformats.org/markup-compatibility/2006" xmlns:a14="http://schemas.microsoft.com/office/drawing/2010/main">
      <mc:Choice Requires="a14">
        <xdr:graphicFrame macro="">
          <xdr:nvGraphicFramePr>
            <xdr:cNvPr id="3" name="S.N. 3">
              <a:extLst>
                <a:ext uri="{FF2B5EF4-FFF2-40B4-BE49-F238E27FC236}">
                  <a16:creationId xmlns:a16="http://schemas.microsoft.com/office/drawing/2014/main" id="{45FABFDD-91A5-CCC0-B00E-766C51192934}"/>
                </a:ext>
              </a:extLst>
            </xdr:cNvPr>
            <xdr:cNvGraphicFramePr/>
          </xdr:nvGraphicFramePr>
          <xdr:xfrm>
            <a:off x="0" y="0"/>
            <a:ext cx="0" cy="0"/>
          </xdr:xfrm>
          <a:graphic>
            <a:graphicData uri="http://schemas.microsoft.com/office/drawing/2010/slicer">
              <sle:slicer xmlns:sle="http://schemas.microsoft.com/office/drawing/2010/slicer" name="S.N. 3"/>
            </a:graphicData>
          </a:graphic>
        </xdr:graphicFrame>
      </mc:Choice>
      <mc:Fallback xmlns="">
        <xdr:sp macro="" textlink="">
          <xdr:nvSpPr>
            <xdr:cNvPr id="0" name=""/>
            <xdr:cNvSpPr>
              <a:spLocks noTextEdit="1"/>
            </xdr:cNvSpPr>
          </xdr:nvSpPr>
          <xdr:spPr>
            <a:xfrm>
              <a:off x="12057380" y="616373"/>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1.494048726854" createdVersion="8" refreshedVersion="8" minRefreshableVersion="3" recordCount="769" xr:uid="{9D8C98F1-E38F-4801-9C3A-7628953C5734}">
  <cacheSource type="worksheet">
    <worksheetSource name="Table1"/>
  </cacheSource>
  <cacheFields count="8">
    <cacheField name="S.N." numFmtId="0">
      <sharedItems containsSemiMixedTypes="0" containsString="0" containsNumber="1" containsInteger="1" minValue="1" maxValue="24" count="24">
        <n v="1"/>
        <n v="2"/>
        <n v="3"/>
        <n v="4"/>
        <n v="5"/>
        <n v="6"/>
        <n v="7"/>
        <n v="8"/>
        <n v="9"/>
        <n v="10"/>
        <n v="11"/>
        <n v="12"/>
        <n v="13"/>
        <n v="14"/>
        <n v="15"/>
        <n v="16"/>
        <n v="17"/>
        <n v="18"/>
        <n v="19"/>
        <n v="20"/>
        <n v="21"/>
        <n v="22"/>
        <n v="23"/>
        <n v="24"/>
      </sharedItems>
    </cacheField>
    <cacheField name="Candidate" numFmtId="0">
      <sharedItems count="668">
        <s v="ARUNA"/>
        <s v="RAJ KARAN KHATRI"/>
        <s v="SHARAD KUMAR"/>
        <s v="ANIL KUMAR SINGH"/>
        <s v="MD KHALID"/>
        <s v="BUDIYA"/>
        <s v="VIKAS BHARDWAJ"/>
        <s v="NOTA"/>
        <s v="GANGA RAM"/>
        <s v="MANGESH TYAGI"/>
        <s v="SANJEEV JHA"/>
        <s v="ANIL KAPOOR"/>
        <s v="ABHISHEK KUMAR SINGH (MASTER JI)"/>
        <s v="GULAB SINGHAL"/>
        <s v="DHURVA KUMAR"/>
        <s v="PRAMOD"/>
        <s v="MUKESH PRASAD"/>
        <s v="RATAN TYAGI"/>
        <s v="VIJAY KUMAR JHA"/>
        <s v="SHAILENDRA KUMAR"/>
        <s v="SUNIL KUMAR VYATHIT"/>
        <s v="SONU KAUSHIK"/>
        <s v="LOKENDRA KALYAN SINGH"/>
        <s v="SURINDER PAL SINGH (BITTOO)"/>
        <s v="SURENDER PAL"/>
        <s v="SURYA PRAKASH KHATRI"/>
        <s v="TARUN KUMAR"/>
        <s v="DEEPAK CHAWLA"/>
        <s v="BIJENDER KUMAR"/>
        <s v="RAKESH RANJAN SHRIVASTAV"/>
        <s v="RAJKUMAR BHARTI"/>
        <s v="RAM RAJ SINGH"/>
        <s v="WASIM AKRAM"/>
        <s v="SANGH PRIYA SIDDHARTHA"/>
        <s v="ABDUL ZABBAR"/>
        <s v="MUKESH KUMAR GOEL"/>
        <s v="RAJ KUMAR BHATIA"/>
        <s v="SHIVANK SINGAL"/>
        <s v="PRIYA"/>
        <s v="PREM CHAND"/>
        <s v="MD: RAHMAT ALI"/>
        <s v="VISHAL SINGH"/>
        <s v="SANJAY YADAV ADVOCATE"/>
        <s v="SANJEEV KUMAR RANA"/>
        <s v="AYUSH GUPTA"/>
        <s v="NEETU SINGH"/>
        <s v="RAM NIWAS"/>
        <s v="VIJAY KR. AGGARWAL"/>
        <s v="AJESH YADAV"/>
        <s v="AAHIR DEEPAK CHAUDHARYY"/>
        <s v="DEVENDER YADAV"/>
        <s v="RAVINDER KUMAR"/>
        <s v="GOPAL KUMAR SINHA"/>
        <s v="PARMOD KUMAR"/>
        <s v="MULAYAM SINGH"/>
        <s v="RAJENDER"/>
        <s v="R. C. SHARMA"/>
        <s v="ARUN KUMAR"/>
        <s v="JAI PAL"/>
        <s v="DEVENDER KUMAR YADAV"/>
        <s v="KULWANT RANA"/>
        <s v="NEYAZ KHAN"/>
        <s v="MOHINDER GOYAL"/>
        <s v="SUSHANT MISHRA"/>
        <s v="ASHOK JAIN"/>
        <s v="AYASHA KHATOON"/>
        <s v="JITANDER SINGH"/>
        <s v="NISHTHA"/>
        <s v="AJAY KUMAR SINGH"/>
        <s v="VIDYA PATTI"/>
        <s v="VISHAL GUPTA"/>
        <s v="JAI BHAGWAN UPKAR"/>
        <s v="RAVINDER INDRAJ SINGH"/>
        <s v="SURENDER KUMAR"/>
        <s v="HEERA LAL"/>
        <s v="DHEERAJ KUMAR"/>
        <s v="BABITA"/>
        <s v="HARI KISHAN MECHANIC"/>
        <s v="GAJENDER DRALL"/>
        <s v="JASBIR KARALA"/>
        <s v="DHARAMPAL LAKRA"/>
        <s v="SUMAN LATA SEHRAWAT"/>
        <s v="MAHAVIR"/>
        <s v="YOGENDER SINGH ALIAS YOGI MATHUR"/>
        <s v="SUNIL KUMAR"/>
        <s v="SANJAYA KUMAR YADAV"/>
        <s v="SANTOSH"/>
        <s v="ANDEEP DRALL"/>
        <s v="RAJNI"/>
        <s v="RAMBIR SHOKEEN"/>
        <s v="SUNITA SHEKHAR CHAWARIYA"/>
        <s v="ANIL JHA"/>
        <s v="JUGBIR SINGH"/>
        <s v="BAJRANG SHUKLA"/>
        <s v="RAJESH KUMAR GUPTA"/>
        <s v="AFSANA SARWAR"/>
        <s v="MALIK NEYAZ AHMAD"/>
        <s v="SUDESH SHARMA"/>
        <s v="PRAKASH SRIVASTAV"/>
        <s v="RAKESH"/>
        <s v="KARAM SINGH KARMA"/>
        <s v="JAI KISHAN"/>
        <s v="MUKESH KUMAR AHLAWAT"/>
        <s v="KARAN SINGH"/>
        <s v="JITENDER"/>
        <s v="PREETI"/>
        <s v="BABU LAL"/>
        <s v="LAXMI"/>
        <s v="SANGEETA"/>
        <s v="DEEPAK KUMAR"/>
        <s v="RAMSWAROOP SAMRIA"/>
        <s v="MANOJ KUMAR SHOKEEN"/>
        <s v="MUKESH KUMAR"/>
        <s v="RAGHUVINDER SHOKEEN"/>
        <s v="ROHIT CHOUDHARY"/>
        <s v="KANCHAN SHARMA"/>
        <s v="MAHENDER SINGH RATHOR"/>
        <s v="YATENDER SHARMA"/>
        <s v="RAM SAJIVAN"/>
        <s v="DILIP KUMAR SHARMA"/>
        <s v="DHARAM RAKSHAK ALIAS RAKESH JATAV"/>
        <s v="RAJ KUMAR CHAUHAN"/>
        <s v="HANUMAN SAHAY ALIAS HANUMAN CHAUHAN"/>
        <s v="KHILKHILAKAR"/>
        <s v="JAI BHAGWAN"/>
        <s v="PARDEEP MITTAL"/>
        <s v="VIJENDER GUPTA"/>
        <s v="SUMESH GUPTA"/>
        <s v="HARSHAD CHADHA"/>
        <s v="ABHISHEK"/>
        <s v="AMIT SAINI"/>
        <s v="NARENDER SINGH PANWAR"/>
        <s v="RAJBIR"/>
        <s v="PARVEEN KUMAR JAIN"/>
        <s v="BANDANA KUMARI"/>
        <s v="REKHA GUPTA"/>
        <s v="SHYAM KUMAR"/>
        <s v="RANJEET VERMA"/>
        <s v="MOHD. USMAN"/>
        <s v="RAJESH KUMAR"/>
        <s v="RINA DEVI"/>
        <s v="SAURABH GUPTA"/>
        <s v="KARNAIL SINGH"/>
        <s v="SATISH KUMAR LUTHRA"/>
        <s v="SATYENDAR JAIN"/>
        <s v="VIJAY KUMAR"/>
        <s v="TAMANA"/>
        <s v="RAJESH GUPTA"/>
        <s v="JUGAL CHAWLA"/>
        <s v="TILAK RAM GUPTA"/>
        <s v="PAWAN GARG"/>
        <s v="PREETI JITENDER TOMAR"/>
        <s v="SATENDER SHARMA"/>
        <s v="SUBHASH"/>
        <s v="SURENDRA SINGH BASOYA"/>
        <s v="POONAM SHARMA"/>
        <s v="RAGINI NAYAK"/>
        <s v="HIRA LAL"/>
        <s v="DEVENDER KUMAR"/>
        <s v="MAHESH BANSAL"/>
        <s v="SHEELA DEVI"/>
        <s v="AAKASH GOEL"/>
        <s v="MUKESH JAIN"/>
        <s v="AKHILESH PATI TRIPATHI"/>
        <s v="ASHOK GOEL"/>
        <s v="KANWAR KARAN SINGH"/>
        <s v="CHUNNI LAL"/>
        <s v="AWDHESH KUMAR JHA"/>
        <s v="PANKAJ KUMAR"/>
        <s v="VIVEK GIRI"/>
        <s v="CHANDER PAL"/>
        <s v="ROMAN RASHID"/>
        <s v="ANIL BHARDWAJ"/>
        <s v="MANOJ KUMAR JINDAL"/>
        <s v="SHAIL KUMARI"/>
        <s v="SOM DUTT"/>
        <s v="ANITA BANSAL"/>
        <s v="ASHA RANI"/>
        <s v="UMESH RATHOR"/>
        <s v="MADHU BALA"/>
        <s v="MEENAKSHI KUMARI"/>
        <s v="LAXMI THAKUR SINGHAL"/>
        <s v="CA SOHARSH GULGULIA JAIN"/>
        <s v="KALI CHARAN"/>
        <s v="PUNARDEEP SINGH SAWHNEY (SABBY)"/>
        <s v="MUDIT AGARWAL"/>
        <s v="SATISH JAIN"/>
        <s v="KHALID UR REHMAN"/>
        <s v="MOHAMMAD MURSALEEN"/>
        <s v="RAHUL TIWARI"/>
        <s v="AALEY MOHAMMED IQBAL"/>
        <s v="ASIM AHMED KHAN"/>
        <s v="TEJ RAM"/>
        <s v="DEEPTI INDORA"/>
        <s v="MOHD JAVED"/>
        <s v="AMAR NATH"/>
        <s v="ZAINUDDIN"/>
        <s v="FIRDOUS AHMAD"/>
        <s v="BHAGWAN DASS"/>
        <s v="MOHAMMAD AHMED SAIFI"/>
        <s v="MOAZAM KHAN"/>
        <s v="IMRAN HUSSAIN"/>
        <s v="KAMAL BAGRI"/>
        <s v="SONU"/>
        <s v="HAROON YUSUF"/>
        <s v="ABRAR"/>
        <s v="MD HAROON"/>
        <s v="MOHD. SHADAB"/>
        <s v="HANSA"/>
        <s v="DUSHYANT GAUTAM"/>
        <s v="RAHUL KUMAR"/>
        <s v="RANJEET"/>
        <s v="VISHESH RAVI"/>
        <s v="SHIV KUMAR"/>
        <s v="KRISHNA TIRATH"/>
        <s v="PRAVESH RATN"/>
        <s v="RAAJ KUMAR ANAND"/>
        <s v="RAM AVTAR"/>
        <s v="ASHOK KUMAR"/>
        <s v="AVINASH GUPTA"/>
        <s v="RAJENDER SINGH"/>
        <s v="SHIVCHARAN GOEL"/>
        <s v="HARISH KHURANA"/>
        <s v="GOURAV BOTHRA"/>
        <s v="MAHESH DUBEY"/>
        <s v="VIJAY KUMAR SHARMA"/>
        <s v="VISHAL SAHNI"/>
        <s v="SANAULLAH"/>
        <s v="GAURI SHANKAR"/>
        <s v="SADRE ALAM"/>
        <s v="HARISH"/>
        <s v="KAILASH GANGWAL"/>
        <s v="J. P. PANWAR"/>
        <s v="RAKHI BIRLA"/>
        <s v="ROOP SINGH AHIRWAR"/>
        <s v="RANDHIR KUMAR"/>
        <s v="RANDHIR SINGH TANDI"/>
        <s v="ROHIT KASHYAP"/>
        <s v="DHARAMVEER"/>
        <s v="RAVI"/>
        <s v="A DHANWATI CHANDELA A"/>
        <s v="DHARAM PAL CHANDELA"/>
        <s v="MANJINDER SINGH SIRSA"/>
        <s v="SHASHI PABHA"/>
        <s v="KAMLA DEVI"/>
        <s v="KARAN TALWAR"/>
        <s v="JAYA RAMAN"/>
        <s v="VISHAL SANGWAN"/>
        <s v="PREM BALLABH"/>
        <s v="BINDU KUMAR"/>
        <s v="SHYAM SHARMA"/>
        <s v="SURINDER KUMAR SETIA"/>
        <s v="PREETAM CHAND"/>
        <s v="MOHAN LAL BHARDWAJ"/>
        <s v="MAYANK MEHTA"/>
        <s v="RAJ KUMARI DHILLON"/>
        <s v="SABIR KHAN"/>
        <s v="ASHOK KUMAR GAUTAM"/>
        <s v="JARNAIL SINGH"/>
        <s v="PARVINDER SINGH ALIAS P S BAWA"/>
        <s v="SHVETA SAINI"/>
        <s v="RAJIV KUMAR BABBAR"/>
        <s v="SHWETA"/>
        <s v="ASHISH SOOD"/>
        <s v="PARVEEN KUMAR"/>
        <s v="RAVI PARTAP RAO"/>
        <s v="HARBANI KAUR"/>
        <s v="KASHMIR CHAND"/>
        <s v="CHAMAN LAL VERMA"/>
        <s v="DHARAM VEER"/>
        <s v="MD NAVEEN"/>
        <s v="NIZAMUDDIN KHAN"/>
        <s v="MOHD OJER"/>
        <s v="RAJ KUMAR"/>
        <s v="ALTAF AHMAD"/>
        <s v="TARUN KUMAR SHARMA"/>
        <s v="PRAVEEN KUMAR"/>
        <s v="KRISHNA THAKUR"/>
        <s v="JITENDER SOLANKI"/>
        <s v="PANKAJ KUMAR SINGH"/>
        <s v="MAHINDER YADAV"/>
        <s v="UMESH CHAUHAN"/>
        <s v="PREM PAL SINGH"/>
        <s v="RAJU RICHARIYA"/>
        <s v="RANJEET KUMAR"/>
        <s v="LALA RAM"/>
        <s v="SHARDA DIXIT"/>
        <s v="SHEJO VARGHESE"/>
        <s v="AMAN SAINI"/>
        <s v="HIRA LAL SAH"/>
        <s v="PAWAN SHARMA"/>
        <s v="POSH BALYAN"/>
        <s v="MANI RAM"/>
        <s v="MUKESH SHARMA"/>
        <s v="DUSHYANT THAKUR"/>
        <s v="RAJIV BHRIGUKUMAR"/>
        <s v="SHYAM BABU"/>
        <s v="DINESH KUMAR SAH"/>
        <s v="JOURNALIST RAMESH KUMAR JAIN @ NIRBHIK"/>
        <s v="ADARSH SHASTRI"/>
        <s v="PARDEEP KUMAR"/>
        <s v="PARDUYMN SINGH RAJPUT"/>
        <s v="VINAY MISHRA"/>
        <s v="ARAVENDRA KUMAR"/>
        <s v="G. THULASEEDHARAN"/>
        <s v="MEHAR CHARAN"/>
        <s v="YOGESH SWAMI"/>
        <s v="RAJNEESH KUMAR JHA"/>
        <s v="RAVI RATHORE"/>
        <s v="RAMESHWAR MAHTO"/>
        <s v="ASHOK JINDAL"/>
        <s v="GAUTAM SINGH BIHARI"/>
        <s v="KAMLESH KUMAR"/>
        <s v="RAGHVINDER SINGH"/>
        <s v="SUMESH SHOKEEN"/>
        <s v="SANDEEP SEHRAWAT"/>
        <s v="ARVIND KUMAR PANDEY"/>
        <s v="NIRAJ KUMAR"/>
        <s v="PRABHAT KUMAR"/>
        <s v="MOHINDER SINGH"/>
        <s v="YOGESH KUMAR SHARMA"/>
        <s v="VINOD KUMAR CHAUHAN"/>
        <s v="PUNAM PANDEY"/>
        <s v="YOGESH KUMAR"/>
        <s v="RAJNI SHARMA"/>
        <s v="NEELAM PAHALWAN"/>
        <s v="ROHIT"/>
        <s v="SUSHMA DEVI YADAV"/>
        <s v="JALANDHAR PANDIT"/>
        <s v="BHARAT SINGH"/>
        <s v="MANOJ KUMAR"/>
        <s v="MANGE RAM SANGWAN"/>
        <s v="KAMAL SINGH"/>
        <s v="KAILASH GAHLOT"/>
        <s v="COL DEVINDER KUMAR SEHRAWAT"/>
        <s v="SURENDER BHARDWAJ"/>
        <s v="NARENDER SINGH"/>
        <s v="NAVEEN KUMAR"/>
        <s v="LALITA TRIVEDI"/>
        <s v="AMRINA"/>
        <s v="NISHANT SEHRAWAT"/>
        <s v="MONIS KURESHI"/>
        <s v="SOM DUTT SHARMA"/>
        <s v="KULDEEP SOLANKI"/>
        <s v="GEETA"/>
        <s v="JOGINDER SOLANKI"/>
        <s v="MANGE RAM"/>
        <s v="DILIP KUMAR"/>
        <s v="MANU GAUTAM"/>
        <s v="PRASHANT CHAUHAN"/>
        <s v="NAMIT KUMAR GAUTAM"/>
        <s v="PRADEEP KUMAR UPMANYU"/>
        <s v="BHUVAN TANWAR"/>
        <s v="VIRENDER SINGH KADIAN"/>
        <s v="SACHIN"/>
        <s v="ASHOK AGYANI"/>
        <s v="UMANG BAJAJ"/>
        <s v="DURGESH PATHAK"/>
        <s v="VINEET YADAV"/>
        <s v="SHIV PRASAD VERMA"/>
        <s v="PANKAJ JAGYA"/>
        <s v="PRAVEEN KUMAR BHARTI"/>
        <s v="UMANG"/>
        <s v="ARVIND KEJRIWAL"/>
        <s v="PARVESH SAHIB SINGH"/>
        <s v="VIRENDER"/>
        <s v="SANDEEP DIKSHIT"/>
        <s v="ARUN KUMAR SHARMA"/>
        <s v="ISHWAR CHAND"/>
        <s v="JAGDEESH PRASAD"/>
        <s v="DUGGIRALA NAGESWARA RAO"/>
        <s v="NARESH KUMAR"/>
        <s v="NITYA NAND SINGH"/>
        <s v="DR. MUNISH KUMAR RAIZADA"/>
        <s v="RAVINDER SINGH RAWAT"/>
        <s v="SANGHA NAND BAUDDH"/>
        <s v="SANTOSH KUMAR"/>
        <s v="SANTOSH RAI"/>
        <s v="ANITA"/>
        <s v="ANURADHA RANA"/>
        <s v="DR. ABHILASHA"/>
        <s v="PANKAJ SHARMA"/>
        <s v="BHAWANA"/>
        <s v="SANJAY RAWAT"/>
        <s v="HAIDER ALI"/>
        <s v="TARVINDER SINGH MARWAH"/>
        <s v="FARHAD SURI"/>
        <s v="MANISH SISODIA"/>
        <s v="RAVINDRA SINGH RAVIYODAYA"/>
        <s v="ANIL KUMAR"/>
        <s v="BIJENDER"/>
        <s v="RAKESH SAGAR"/>
        <s v="ASHOK BAMBANI"/>
        <s v="SUNIL KUMAR KUKREJA"/>
        <s v="ABHISHEK DUTT"/>
        <s v="NEERAJ BASOYA"/>
        <s v="MAHESH KUMAR"/>
        <s v="RAMESH PAHELWAN"/>
        <s v="PARTEEK GUPTA"/>
        <s v="CHARANJEET KAUR"/>
        <s v="JITENDER KUMAR KOCHAR"/>
        <s v="SATISH UPADHYAY"/>
        <s v="SOMNATH BHARTI"/>
        <s v="BHAVISH DHANKAR"/>
        <s v="DR. BHUPENDRA CHAURASIYA"/>
        <s v="MEGHNAD S."/>
        <s v="ANIL KUMAR SHARMA"/>
        <s v="PRAMILA TOKAS"/>
        <s v="VISHESH KUMAR"/>
        <s v="SUNIL KAIN"/>
        <s v="ABHA JHA"/>
        <s v="NEERAJ CHOURASIYA"/>
        <s v="LOKESH KUMAR MASTERJI"/>
        <s v="SARAVANAN"/>
        <s v="KULDEEP SINGH AHLAWAT"/>
        <s v="PERMILA"/>
        <s v="RAMESH ADVOCATE"/>
        <s v="RAI SINGH"/>
        <s v="GAJENDER SINGH YADAV"/>
        <s v="PUSHPA SINGH"/>
        <s v="MAHENDER CHAUDHARY"/>
        <s v="YOGESHWAR SINGH BISHT"/>
        <s v="MAHAVIR SINGH"/>
        <s v="VIJAY LAL TAMTA"/>
        <s v="SHARDA SINGH"/>
        <s v="BALYOGI BABA BALAKNATH"/>
        <s v="KARTAR SINGH TANWAR"/>
        <s v="BRIJ LAL"/>
        <s v="BRAHM SINGH TANWAR"/>
        <s v="RAJENDER SINGH TANWAR"/>
        <s v="ISLAM ALI"/>
        <s v="RICHA KUMARI"/>
        <s v="DINESH TANWAR"/>
        <s v="NARENDER"/>
        <s v="DAYA RAM GURJAR"/>
        <s v="DHARMENDER"/>
        <s v="SANJAY NEGI"/>
        <s v="ASMITA"/>
        <s v="PREM CHAUHAN"/>
        <s v="RAJESH CHAUHAN"/>
        <s v="DEEPAK TANWAR"/>
        <s v="DEVIKA"/>
        <s v="BACHAN RAM"/>
        <s v="RAJA RAM"/>
        <s v="DR. AJAY DUTT"/>
        <s v="KHUSHI RAM CHUNAR"/>
        <s v="JAI PRAKASH"/>
        <s v="SEWA DASS"/>
        <s v="ARUN"/>
        <s v="GULSHAN BHARTI"/>
        <s v="DARSAN SINGH"/>
        <s v="RAJIV KUMAR"/>
        <s v="CHANDAN KUMAR CHOUDHARY"/>
        <s v="MOHD ZAKIULLAH"/>
        <s v="DINESH MOHANIYA"/>
        <s v="HARSH CHOUDHARY"/>
        <s v="QAMAR ALI"/>
        <s v="RAVINDER SINGH"/>
        <s v="SIRAJUDDIN"/>
        <s v="SUDHIR NEGI"/>
        <s v="JAGDISH KUMAR VERMA"/>
        <s v="MAHENDER KUMAR"/>
        <s v="SATPAL"/>
        <s v="GARVIT SINGHVI"/>
        <s v="NIYATI CHOUDHARY"/>
        <s v="SHIKHA ROY"/>
        <s v="SAURABH BHARADWAJ"/>
        <s v="RAMESH JAGANNATH SHAH"/>
        <s v="SATISH KUMAR GULLIYA"/>
        <s v="ALKA LAMBA"/>
        <s v="ATISHI"/>
        <s v="PRITAM SINGH"/>
        <s v="RAMESH BIDHURI"/>
        <s v="TANYA SINGH"/>
        <s v="DEEPAK KAPILA"/>
        <s v="RAJAN SINGH"/>
        <s v="SANGH MITRA"/>
        <s v="IQBAL AHMED SIDDIQUI"/>
        <s v="PARVEEN CHOUDHRY"/>
        <s v="SANJAY"/>
        <s v="AMJAD HASAN"/>
        <s v="ROHTASH KUMAR"/>
        <s v="VIRENDER SINGH"/>
        <s v="SAHI RAM"/>
        <s v="KHURSHEED ABBAS ZAIDI"/>
        <s v="CHAMAN LAL"/>
        <s v="PARVEEN CHAUHAN"/>
        <s v="REKHA SINGH"/>
        <s v="ARJUN SINGH BHADANA"/>
        <s v="JAGDISH CHAND"/>
        <s v="NARAYAN DUTT SHARMA"/>
        <s v="PARDEEP"/>
        <s v="RAM SINGH NETAJI"/>
        <s v="IMRAN SAIFI"/>
        <s v="BRIJPAL"/>
        <s v="RAM BAHADUR"/>
        <s v="RAHUL RAI"/>
        <s v="HARI RAM"/>
        <s v="OM PRAKASH GUPTA"/>
        <s v="DEEPAK RAWAT"/>
        <s v="AMANATULLAH KHAN"/>
        <s v="ARIBA KHAN"/>
        <s v="MANISH CHAUDHARY"/>
        <s v="SATISH KUMAR"/>
        <s v="MD INJAMAMUL HASSAN"/>
        <s v="MOHD ISLAM"/>
        <s v="KANEEZ FATIMA"/>
        <s v="JAMALUDDIN"/>
        <s v="FIRDOS ALAM"/>
        <s v="RIZWANA KHATOON"/>
        <s v="SHIFA UR REHMAN KHAN"/>
        <s v="SHER MOHAMMAD"/>
        <s v="SHEIKH ARSALAN ULLAH CHISHTI"/>
        <s v="HAMMAD KHAN"/>
        <s v="AMARDEEP"/>
        <s v="ANJANA PARCHA"/>
        <s v="NAND LAL"/>
        <s v="RAVI KANT"/>
        <s v="VICKY"/>
        <s v="SARITA SINGH"/>
        <s v="NAVEEN RAM"/>
        <s v="AKSHAY KUMAR"/>
        <s v="KULDEEP KUMAR (MONU)"/>
        <s v="PRIYANKA GAUTAM"/>
        <s v="AMARJEET PRASAD"/>
        <s v="ASHA KAMBLE"/>
        <s v="NIKHIL KUMAR PIPAL"/>
        <s v="SUNNY KUMAR"/>
        <s v="SURENDER SINGH"/>
        <s v="AVADH OJHA"/>
        <s v="OM SHANKAR PANDEY"/>
        <s v="Ravinder Singh Negi (Ravi Negi)"/>
        <s v="GOPAL PRASAD"/>
        <s v="DEEPA DEVI"/>
        <s v="PRAKASH CHANDRA JOSHI"/>
        <s v="JAGDISH  OJHA"/>
        <s v="DIBLU SINGH"/>
        <s v="ABHAY VERMA"/>
        <s v="B B TYAGI"/>
        <s v="MOHD WAQAR CHOUDHARY"/>
        <s v="SUMIT SHARMA"/>
        <s v="ANIMA OJHA"/>
        <s v="ISMAIL"/>
        <s v="KUSUM LATA"/>
        <s v="GANDHI GAUTAM"/>
        <s v="DANVEER VIDYALANKAR"/>
        <s v="DEEPAK PANDEY"/>
        <s v="NAMAHA"/>
        <s v="VIKAS"/>
        <s v="ANURAG KUMAR"/>
        <s v="JAGDISH KUMAR GARG"/>
        <s v="VIMAL KUMAR SAXENA"/>
        <s v="OM PRAKASH SHARMA"/>
        <s v="DEEPAK SINGHAL"/>
        <s v="RAJIV CHAUDHARY"/>
        <s v="RAJESH KUMAR YADAV"/>
        <s v="GURMEET SINGH"/>
        <s v="NEELAM SINGH"/>
        <s v="PARAG JAIN"/>
        <s v="BHAWANA BOTHRA"/>
        <s v="DR ANIL GOYAL"/>
        <s v="AMAR SINGH"/>
        <s v="GURCHARAN SINGH (RAJU)"/>
        <s v="VIKAS BAGGA CA"/>
        <s v="POONAM MAINI"/>
        <s v="VIDHAYAK VIRENDRA PRADHAN GURJAR"/>
        <s v="VINOD KAPOOR"/>
        <s v="ARVINDER SINGH LOVELY"/>
        <s v="KAMAL ARORA (DABBU)"/>
        <s v="TIKRAJ SINGH"/>
        <s v="NAVEEN CHAUDHARY (DEEPU)"/>
        <s v="PAWAN CHOUDHRY"/>
        <s v="GULFAM"/>
        <s v="JAGAT SINGH"/>
        <s v="JITENDER SINGH SHUNTY"/>
        <s v="DHARMINDRA KUMAR KAIM"/>
        <s v="SANJAY GOYAL"/>
        <s v="KAMAL KISHORE"/>
        <s v="NITIN GARG"/>
        <s v="RAJENDRA KUMAR PAL"/>
        <s v="ASHOK SURANA"/>
        <s v="DILIP BANERJEE"/>
        <s v="VINAY CHAUDHARI"/>
        <s v="MANOJ"/>
        <s v="RAJESH LILOTHIA"/>
        <s v="KU. RINKU"/>
        <s v="VEER SINGH DHINGAN"/>
        <s v="AJAY KUMAR"/>
        <s v="CHARAN SINGH MALIYAN"/>
        <s v="RAJESH"/>
        <s v="RAJESH KUMAR LOHIYA"/>
        <s v="SAROJ BALA"/>
        <s v="ASHISH KUMAR"/>
        <s v="JITENDER MAHAJAN"/>
        <s v="SURESHVATI"/>
        <s v="AKESHAN DUT"/>
        <s v="AMIT KUMAR SHARMA"/>
        <s v="NASEEM USMAN"/>
        <s v="PANKAJ GUPTA"/>
        <s v="SUBHASH CHAND GUPTA"/>
        <s v="SURENDER SINGH VISHWAKARMA"/>
        <s v="SANJEEV KUMAR"/>
        <s v="NITIN MITTAL"/>
        <s v="VIKAS TYAGI"/>
        <s v="SURESH PAL JAINTH"/>
        <s v="ANIL KUMAR SHARMA (GAUR)"/>
        <s v="ABDUL REHMAN"/>
        <s v="CHAUDHARY ZUBAIR AHMAD"/>
        <s v="MOHD NAZIR"/>
        <s v="SHABANA"/>
        <s v="SUMAN SHARMA"/>
        <s v="S. M. AQIF"/>
        <s v="ISLAUDDIN"/>
        <s v="MOHD ZUBAIR MALIK"/>
        <s v="RAHISUDDIN AHMAD"/>
        <s v="MOHD SHAFI"/>
        <s v="SYED MUNEEB"/>
        <s v="AJAY MAHAWAR"/>
        <s v="GAURAV SHARMA"/>
        <s v="BHISHAM SHARMA"/>
        <s v="SUNDER LOHIYA"/>
        <s v="ANIL SINGH"/>
        <s v="ADVOCATE MEHAK DOGRA"/>
        <s v="SHUBHAM"/>
        <s v="ANIL KUMAR VASHISHT"/>
        <s v="GOPAL RAI"/>
        <s v="MOHD ISHRAQ KHAN"/>
        <s v="BHUPENDER YADAV"/>
        <s v="MD NAZIR"/>
        <s v="SHIV KUMAR(KAKE)"/>
        <s v="MOHAMMAD ABDULLAH ANSARI"/>
        <s v="ISHWAR SINGH"/>
        <s v="PRAVEEN NIMESH"/>
        <s v="LAL SINGH"/>
        <s v="SURENDRA KUMAR"/>
        <s v="ATUL KUMAR"/>
        <s v="ARVIND KUMAR"/>
        <s v="JAGDISH"/>
        <s v="DHARAMVIR SINGH"/>
        <s v="BIR SAIN"/>
        <s v="MANJEET SINGH"/>
        <s v="SURESHPAL JAINTH"/>
        <s v="ALI MEHDI"/>
        <s v="ADEEL AHMAD KHAN"/>
        <s v="MOHAN SINGH BISHT"/>
        <s v="ASHA CHAUDHARY"/>
        <s v="MOHD USMAN BAKHSH"/>
        <s v="MOHD. TAHIR HUSSAIN"/>
        <s v="DHARAM PAL"/>
        <s v="NASIRUDDIN GAURI"/>
        <s v="VISHAL"/>
        <s v="SAGAR TANHA"/>
        <s v="JITENDER KUMAR"/>
        <s v="ASHOK AGARWAL"/>
        <s v="KAPIL MISHRA"/>
        <s v="DEVENDRA BHAIYA"/>
        <s v="MANOJ KUMAR TYAGI"/>
        <s v="DR. P.K. MISHRA"/>
        <s v="NEERAJ"/>
        <s v="PRAKASH CHAND"/>
        <s v="YOGENDER"/>
        <s v="SEEMA"/>
        <s v="SANJAY MISHRA (SITARAM)"/>
        <s v="SANDHIYA TIWARI"/>
        <s v="H.M. HASHIM MALIK"/>
        <s v="AJAY SINGH NEGI"/>
        <s v="YOGESH SWAMY"/>
        <s v="VISHAL SHARMA"/>
      </sharedItems>
    </cacheField>
    <cacheField name="Party" numFmtId="0">
      <sharedItems count="107">
        <s v="Indian National Congress"/>
        <s v="Bhartiya Janta Party"/>
        <s v="Aam Aadmi Party"/>
        <s v="Communist Party of India  (Marxist-Leninist)  (Liberation)"/>
        <s v="Aazad Samaj Party (Kanshi Ram)"/>
        <s v="Independent"/>
        <s v="None of the Above"/>
        <s v="Bahujan Samaj Party"/>
        <s v="Janhit Dal"/>
        <s v="Rashtriya Janshakti Party (Secular)"/>
        <s v="Bhim Sena"/>
        <s v="Right to Recall Party"/>
        <s v="Sarvodaya Prabhat Party"/>
        <s v="Bhartiya Janta Dal (Integrated)"/>
        <s v="Nationalist Congress Party"/>
        <s v="Rachnatmak Jan Morcha"/>
        <s v="Janata Dal  (United)"/>
        <s v="Aam Aadmi Sangharsh Party (S)"/>
        <s v="Aapki Apni Party (Peoples)"/>
        <s v="Republican Sena"/>
        <s v="Republican Party of India (Athawale)"/>
        <s v="Jan Samuh Party"/>
        <s v="Peoples Party of India (Democratic)"/>
        <s v="Indian National Socialistic Action Forces"/>
        <s v="Aam Janmat Party,"/>
        <s v="Rashtrawadi Janlok Party (Satya)"/>
        <s v="Navarang Congress Party"/>
        <s v="National Youth Party"/>
        <s v="Communist Party of India"/>
        <s v="Bharatiya Sampuran Krantikari Party"/>
        <s v="Socialist Unity Centre Of India (COMMUNIST)"/>
        <s v="Yuva Bharat Rashtraseva Party"/>
        <s v="Asankhya Samaj Party"/>
        <s v="Jai Maha Bharath Party"/>
        <s v="All India Forward Bloc"/>
        <s v="Akhil Bharatiya Socialist Party"/>
        <s v="National Loktantrik Party"/>
        <s v="Peace Party"/>
        <s v="Rashtriya Manav Party"/>
        <s v="Swaraj Bhartiya Nyay Party"/>
        <s v="Rashtriya Lok Sevak Party"/>
        <s v="Azad Adhikar Sena"/>
        <s v="Bahujan Shoshit Samaj Sangharsh Samta Party"/>
        <s v="New India United Party"/>
        <s v="Bharat Lok Sewak Party"/>
        <s v="Garib Ekta Party"/>
        <s v="Rashtravadi Janata Party"/>
        <s v="Atulya Bharat Party"/>
        <s v="Bharatiya Liberal Party"/>
        <s v="Abhinav Bharat Party"/>
        <s v="Jantantrik Samta Party"/>
        <s v="Aam Aadmi Parivartan Party"/>
        <s v="Rashtriya Aikta Manch Party"/>
        <s v="Voters Party  International"/>
        <s v="Hamara Sahi Vikalp Party"/>
        <s v="Sanjhi Virasat Party"/>
        <s v="Bharatheeya Jawan Kisan Party"/>
        <s v="Buland Bharat Party"/>
        <s v="Aam Janshakti Party"/>
        <s v="Suheldev Bharatiya Samaj Party"/>
        <s v="Adarshwaadi Congress Party"/>
        <s v="All India National Raksha Sena"/>
        <s v="Rashtriya Rashtrawadi Party"/>
        <s v="Bhartiya Panchsheel Party"/>
        <s v="Rashtriya Lok Janshakti Party"/>
        <s v="Gareeb Aadmi Party"/>
        <s v="Peoples Green Party"/>
        <s v="Samaj Vikas Kranti Party"/>
        <s v="One Bharat Citizen Party"/>
        <s v="Proutist Bloc, India"/>
        <s v="Rashtravadi Loktantrik Party (India)"/>
        <s v="Bhartiya Krishak Dal"/>
        <s v="Delhi Janta Party"/>
        <s v="Bharatrashtra Democratic Party"/>
        <s v="Samarth Bharatvarsh Party"/>
        <s v="Jatiya Jana Sena Party"/>
        <s v="Haryana Jansena Party"/>
        <s v="Bhartiya Rashtrawadi Party"/>
        <s v="Blue India Party"/>
        <s v="Bhartiya Rashtriya Jansatta"/>
        <s v="Bhartiya Mahasangh Party"/>
        <s v="Matrubhoomi Sewa Party"/>
        <s v="Lok Janshakti Party(Ram Vilas)"/>
        <s v="Aam Janta Party (India)"/>
        <s v="Veer Janshakti Party"/>
        <s v="Rashtriya Bahujan Congress Party"/>
        <s v="Samata Party"/>
        <s v="Communist Party of India  (Marxist)"/>
        <s v="Akhil Bhartiya Manavatavadi Party"/>
        <s v="Aihra National Party"/>
        <s v="Bhartiya Insan Party"/>
        <s v="All India Majlis-E-Ittehadul Muslimeen"/>
        <s v="Azad Samaj Party"/>
        <s v="Voice of Awam Party"/>
        <s v="Rashtra Nirman Party"/>
        <s v="Magadh Congress of Inda"/>
        <s v="Aapsi Sahyog Party"/>
        <s v="Bharatiy Aam Janta Adhikar Party"/>
        <s v="Samrat Mihir Bhoj Samaj Party"/>
        <s v="Bharatiya Sarvodaya Kranti Party"/>
        <s v="Swatantra Jantaraj Party"/>
        <s v="Bhartiya Rashtriya Dal"/>
        <s v="Rashtriya Republican Party"/>
        <s v="Aman Samaj Party"/>
        <s v="Rashtriya Janmorcha"/>
        <s v="Bahujan Dravida Party"/>
        <s v="Social Democratic Party Of India"/>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perecentage of Votes" numFmtId="0">
      <sharedItems containsSemiMixedTypes="0" containsString="0" containsNumber="1" minValue="0.01" maxValue="68.8"/>
    </cacheField>
    <cacheField name="Constituency"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s>
  <extLst>
    <ext xmlns:x14="http://schemas.microsoft.com/office/spreadsheetml/2009/9/main" uri="{725AE2AE-9491-48be-B2B4-4EB974FC3084}">
      <x14:pivotCacheDefinition pivotCacheId="12732481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4.932036689817" createdVersion="8" refreshedVersion="8" minRefreshableVersion="3" recordCount="69" xr:uid="{712BA776-90F3-4442-BFA1-13027C58AB55}">
  <cacheSource type="worksheet">
    <worksheetSource name="Table2"/>
  </cacheSource>
  <cacheFields count="9">
    <cacheField name="Constituency(W.No.)" numFmtId="0">
      <sharedItems containsSemiMixedTypes="0" containsString="0" containsNumber="1" containsInteger="1" minValue="1" maxValue="70" count="69">
        <n v="1"/>
        <n v="2"/>
        <n v="3"/>
        <n v="4"/>
        <n v="5"/>
        <n v="6"/>
        <n v="7"/>
        <n v="8"/>
        <n v="9"/>
        <n v="10"/>
        <n v="11"/>
        <n v="12"/>
        <n v="13"/>
        <n v="14"/>
        <n v="15"/>
        <n v="16"/>
        <n v="17"/>
        <n v="18"/>
        <n v="19"/>
        <n v="20"/>
        <n v="21"/>
        <n v="22"/>
        <n v="23"/>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P.L" numFmtId="0">
      <sharedItems containsNonDate="0" containsString="0" containsBlank="1" count="1">
        <m/>
      </sharedItems>
    </cacheField>
    <cacheField name="S.N." numFmtId="0">
      <sharedItems containsSemiMixedTypes="0" containsString="0" containsNumber="1" containsInteger="1" minValue="1" maxValue="5" count="5">
        <n v="2"/>
        <n v="3"/>
        <n v="4"/>
        <n v="1"/>
        <n v="5"/>
      </sharedItems>
    </cacheField>
    <cacheField name="Candidate" numFmtId="0">
      <sharedItems count="69">
        <s v="RAJ KARAN KHATRI"/>
        <s v="SANJEEV JHA"/>
        <s v="SURYA PRAKASH KHATRI"/>
        <s v="RAJ KUMAR BHATIA"/>
        <s v="AAHIR DEEPAK CHAUDHARYY"/>
        <s v="KULWANT RANA"/>
        <s v="RAVINDER INDRAJ SINGH"/>
        <s v="GAJENDER DRALL"/>
        <s v="ANIL JHA"/>
        <s v="MUKESH KUMAR AHLAWAT"/>
        <s v="MANOJ KUMAR SHOKEEN"/>
        <s v="RAJ KUMAR CHAUHAN"/>
        <s v="VIJENDER GUPTA"/>
        <s v="REKHA GUPTA"/>
        <s v="KARNAIL SINGH"/>
        <s v="TILAK RAM GUPTA"/>
        <s v="POONAM SHARMA"/>
        <s v="ASHOK GOEL"/>
        <s v="SOM DUTT"/>
        <s v="PUNARDEEP SINGH SAWHNEY (SABBY)"/>
        <s v="AALEY MOHAMMED IQBAL"/>
        <s v="IMRAN HUSSAIN"/>
        <s v="VISHESH RAVI"/>
        <s v="HARISH KHURANA"/>
        <s v="KAILASH GANGWAL"/>
        <s v="MANJINDER SINGH SIRSA"/>
        <s v="SHYAM SHARMA"/>
        <s v="JARNAIL SINGH"/>
        <s v="ASHISH SOOD"/>
        <s v="PANKAJ KUMAR SINGH"/>
        <s v="PAWAN SHARMA"/>
        <s v="PARDUYMN SINGH RAJPUT"/>
        <s v="SANDEEP SEHRAWAT"/>
        <s v="NEELAM PAHALWAN"/>
        <s v="KAILASH GAHLOT"/>
        <s v="KULDEEP SOLANKI"/>
        <s v="VIRENDER SINGH KADIAN"/>
        <s v="UMANG BAJAJ"/>
        <s v="PARVESH SAHIB SINGH"/>
        <s v="TARVINDER SINGH MARWAH"/>
        <s v="NEERAJ BASOYA"/>
        <s v="SATISH UPADHYAY"/>
        <s v="ANIL KUMAR SHARMA"/>
        <s v="GAJENDER SINGH YADAV"/>
        <s v="KARTAR SINGH TANWAR"/>
        <s v="PREM CHAUHAN"/>
        <s v="DR. AJAY DUTT"/>
        <s v="CHANDAN KUMAR CHOUDHARY"/>
        <s v="SHIKHA ROY"/>
        <s v="ATISHI"/>
        <s v="SAHI RAM"/>
        <s v="RAM SINGH NETAJI"/>
        <s v="AMANATULLAH KHAN"/>
        <s v="RAVI KANT"/>
        <s v="KULDEEP KUMAR (MONU)"/>
        <s v="Ravinder Singh Negi (Ravi Negi)"/>
        <s v="ABHAY VERMA"/>
        <s v="OM PRAKASH SHARMA"/>
        <s v="DR ANIL GOYAL"/>
        <s v="ARVINDER SINGH LOVELY"/>
        <s v="SANJAY GOYAL"/>
        <s v="VEER SINGH DHINGAN"/>
        <s v="JITENDER MAHAJAN"/>
        <s v="CHAUDHARY ZUBAIR AHMAD"/>
        <s v="AJAY MAHAWAR"/>
        <s v="GOPAL RAI"/>
        <s v="SURENDRA KUMAR"/>
        <s v="MOHAN SINGH BISHT"/>
        <s v="KAPIL MISHRA"/>
      </sharedItems>
    </cacheField>
    <cacheField name="Party" numFmtId="0">
      <sharedItems count="2">
        <s v="Bhartiya Janta Party"/>
        <s v="Aam Aadmi Party"/>
      </sharedItems>
    </cacheField>
    <cacheField name="EVM Votes" numFmtId="0">
      <sharedItems containsSemiMixedTypes="0" containsString="0" containsNumber="1" containsInteger="1" minValue="22140" maxValue="144938"/>
    </cacheField>
    <cacheField name="Postal Votes" numFmtId="0">
      <sharedItems containsSemiMixedTypes="0" containsString="0" containsNumber="1" containsInteger="1" minValue="51" maxValue="1650"/>
    </cacheField>
    <cacheField name="Total Votes" numFmtId="0">
      <sharedItems containsSemiMixedTypes="0" containsString="0" containsNumber="1" containsInteger="1" minValue="22191" maxValue="146295"/>
    </cacheField>
    <cacheField name="perecentage of Votes" numFmtId="0">
      <sharedItems containsSemiMixedTypes="0" containsString="0" containsNumber="1" minValue="40.56" maxValue="68.8"/>
    </cacheField>
  </cacheFields>
  <extLst>
    <ext xmlns:x14="http://schemas.microsoft.com/office/spreadsheetml/2009/9/main" uri="{725AE2AE-9491-48be-B2B4-4EB974FC3084}">
      <x14:pivotCacheDefinition pivotCacheId="1338845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x v="0"/>
    <x v="0"/>
    <x v="0"/>
    <n v="6724"/>
    <n v="58"/>
    <n v="6782"/>
    <n v="3.88"/>
    <x v="0"/>
  </r>
  <r>
    <x v="1"/>
    <x v="1"/>
    <x v="1"/>
    <n v="86463"/>
    <n v="752"/>
    <n v="87215"/>
    <n v="49.91"/>
    <x v="0"/>
  </r>
  <r>
    <x v="2"/>
    <x v="2"/>
    <x v="2"/>
    <n v="78395"/>
    <n v="224"/>
    <n v="78619"/>
    <n v="44.99"/>
    <x v="0"/>
  </r>
  <r>
    <x v="3"/>
    <x v="3"/>
    <x v="3"/>
    <n v="328"/>
    <n v="0"/>
    <n v="328"/>
    <n v="0.19"/>
    <x v="0"/>
  </r>
  <r>
    <x v="4"/>
    <x v="4"/>
    <x v="4"/>
    <n v="278"/>
    <n v="0"/>
    <n v="278"/>
    <n v="0.16"/>
    <x v="0"/>
  </r>
  <r>
    <x v="5"/>
    <x v="5"/>
    <x v="5"/>
    <n v="242"/>
    <n v="0"/>
    <n v="242"/>
    <n v="0.14000000000000001"/>
    <x v="0"/>
  </r>
  <r>
    <x v="6"/>
    <x v="6"/>
    <x v="5"/>
    <n v="300"/>
    <n v="1"/>
    <n v="301"/>
    <n v="0.17"/>
    <x v="0"/>
  </r>
  <r>
    <x v="7"/>
    <x v="7"/>
    <x v="6"/>
    <n v="973"/>
    <n v="8"/>
    <n v="981"/>
    <n v="0.56000000000000005"/>
    <x v="0"/>
  </r>
  <r>
    <x v="0"/>
    <x v="8"/>
    <x v="7"/>
    <n v="2193"/>
    <n v="21"/>
    <n v="2214"/>
    <n v="0.87"/>
    <x v="1"/>
  </r>
  <r>
    <x v="1"/>
    <x v="9"/>
    <x v="0"/>
    <n v="19808"/>
    <n v="112"/>
    <n v="19920"/>
    <n v="7.82"/>
    <x v="1"/>
  </r>
  <r>
    <x v="2"/>
    <x v="10"/>
    <x v="2"/>
    <n v="120813"/>
    <n v="368"/>
    <n v="121181"/>
    <n v="47.57"/>
    <x v="1"/>
  </r>
  <r>
    <x v="3"/>
    <x v="11"/>
    <x v="8"/>
    <n v="866"/>
    <n v="3"/>
    <n v="869"/>
    <n v="0.34"/>
    <x v="1"/>
  </r>
  <r>
    <x v="4"/>
    <x v="12"/>
    <x v="9"/>
    <n v="530"/>
    <n v="1"/>
    <n v="531"/>
    <n v="0.21"/>
    <x v="1"/>
  </r>
  <r>
    <x v="5"/>
    <x v="13"/>
    <x v="10"/>
    <n v="318"/>
    <n v="0"/>
    <n v="318"/>
    <n v="0.12"/>
    <x v="1"/>
  </r>
  <r>
    <x v="6"/>
    <x v="14"/>
    <x v="11"/>
    <n v="224"/>
    <n v="0"/>
    <n v="224"/>
    <n v="0.09"/>
    <x v="1"/>
  </r>
  <r>
    <x v="7"/>
    <x v="15"/>
    <x v="12"/>
    <n v="315"/>
    <n v="0"/>
    <n v="315"/>
    <n v="0.12"/>
    <x v="1"/>
  </r>
  <r>
    <x v="8"/>
    <x v="16"/>
    <x v="13"/>
    <n v="284"/>
    <n v="4"/>
    <n v="288"/>
    <n v="0.11"/>
    <x v="1"/>
  </r>
  <r>
    <x v="9"/>
    <x v="17"/>
    <x v="14"/>
    <n v="3829"/>
    <n v="23"/>
    <n v="3852"/>
    <n v="1.51"/>
    <x v="1"/>
  </r>
  <r>
    <x v="10"/>
    <x v="18"/>
    <x v="15"/>
    <n v="589"/>
    <n v="0"/>
    <n v="589"/>
    <n v="0.23"/>
    <x v="1"/>
  </r>
  <r>
    <x v="11"/>
    <x v="19"/>
    <x v="16"/>
    <n v="99943"/>
    <n v="637"/>
    <n v="100580"/>
    <n v="39.479999999999997"/>
    <x v="1"/>
  </r>
  <r>
    <x v="12"/>
    <x v="20"/>
    <x v="17"/>
    <n v="568"/>
    <n v="1"/>
    <n v="569"/>
    <n v="0.22"/>
    <x v="1"/>
  </r>
  <r>
    <x v="13"/>
    <x v="21"/>
    <x v="18"/>
    <n v="738"/>
    <n v="1"/>
    <n v="739"/>
    <n v="0.28999999999999998"/>
    <x v="1"/>
  </r>
  <r>
    <x v="14"/>
    <x v="7"/>
    <x v="6"/>
    <n v="2530"/>
    <n v="18"/>
    <n v="2548"/>
    <n v="1"/>
    <x v="1"/>
  </r>
  <r>
    <x v="0"/>
    <x v="22"/>
    <x v="0"/>
    <n v="8313"/>
    <n v="48"/>
    <n v="8361"/>
    <n v="6.88"/>
    <x v="2"/>
  </r>
  <r>
    <x v="1"/>
    <x v="23"/>
    <x v="2"/>
    <n v="54602"/>
    <n v="171"/>
    <n v="54773"/>
    <n v="45.07"/>
    <x v="2"/>
  </r>
  <r>
    <x v="2"/>
    <x v="24"/>
    <x v="7"/>
    <n v="976"/>
    <n v="9"/>
    <n v="985"/>
    <n v="0.81"/>
    <x v="2"/>
  </r>
  <r>
    <x v="3"/>
    <x v="25"/>
    <x v="1"/>
    <n v="55626"/>
    <n v="315"/>
    <n v="55941"/>
    <n v="46.03"/>
    <x v="2"/>
  </r>
  <r>
    <x v="4"/>
    <x v="26"/>
    <x v="19"/>
    <n v="165"/>
    <n v="2"/>
    <n v="167"/>
    <n v="0.14000000000000001"/>
    <x v="2"/>
  </r>
  <r>
    <x v="5"/>
    <x v="27"/>
    <x v="20"/>
    <n v="113"/>
    <n v="0"/>
    <n v="113"/>
    <n v="0.09"/>
    <x v="2"/>
  </r>
  <r>
    <x v="6"/>
    <x v="28"/>
    <x v="21"/>
    <n v="49"/>
    <n v="1"/>
    <n v="50"/>
    <n v="0.04"/>
    <x v="2"/>
  </r>
  <r>
    <x v="7"/>
    <x v="29"/>
    <x v="8"/>
    <n v="90"/>
    <n v="1"/>
    <n v="91"/>
    <n v="7.0000000000000007E-2"/>
    <x v="2"/>
  </r>
  <r>
    <x v="8"/>
    <x v="30"/>
    <x v="22"/>
    <n v="111"/>
    <n v="1"/>
    <n v="112"/>
    <n v="0.09"/>
    <x v="2"/>
  </r>
  <r>
    <x v="9"/>
    <x v="31"/>
    <x v="9"/>
    <n v="109"/>
    <n v="0"/>
    <n v="109"/>
    <n v="0.09"/>
    <x v="2"/>
  </r>
  <r>
    <x v="10"/>
    <x v="32"/>
    <x v="23"/>
    <n v="69"/>
    <n v="0"/>
    <n v="69"/>
    <n v="0.06"/>
    <x v="2"/>
  </r>
  <r>
    <x v="11"/>
    <x v="33"/>
    <x v="10"/>
    <n v="107"/>
    <n v="0"/>
    <n v="107"/>
    <n v="0.09"/>
    <x v="2"/>
  </r>
  <r>
    <x v="12"/>
    <x v="7"/>
    <x v="6"/>
    <n v="658"/>
    <n v="5"/>
    <n v="663"/>
    <n v="0.55000000000000004"/>
    <x v="2"/>
  </r>
  <r>
    <x v="0"/>
    <x v="34"/>
    <x v="7"/>
    <n v="343"/>
    <n v="1"/>
    <n v="344"/>
    <n v="0.34"/>
    <x v="3"/>
  </r>
  <r>
    <x v="1"/>
    <x v="35"/>
    <x v="2"/>
    <n v="40941"/>
    <n v="87"/>
    <n v="41028"/>
    <n v="40.840000000000003"/>
    <x v="3"/>
  </r>
  <r>
    <x v="2"/>
    <x v="36"/>
    <x v="1"/>
    <n v="52260"/>
    <n v="250"/>
    <n v="52510"/>
    <n v="52.27"/>
    <x v="3"/>
  </r>
  <r>
    <x v="3"/>
    <x v="37"/>
    <x v="0"/>
    <n v="5442"/>
    <n v="18"/>
    <n v="5460"/>
    <n v="5.43"/>
    <x v="3"/>
  </r>
  <r>
    <x v="4"/>
    <x v="38"/>
    <x v="24"/>
    <n v="56"/>
    <n v="0"/>
    <n v="56"/>
    <n v="0.06"/>
    <x v="3"/>
  </r>
  <r>
    <x v="5"/>
    <x v="39"/>
    <x v="25"/>
    <n v="41"/>
    <n v="0"/>
    <n v="41"/>
    <n v="0.04"/>
    <x v="3"/>
  </r>
  <r>
    <x v="6"/>
    <x v="40"/>
    <x v="26"/>
    <n v="18"/>
    <n v="0"/>
    <n v="18"/>
    <n v="0.02"/>
    <x v="3"/>
  </r>
  <r>
    <x v="7"/>
    <x v="41"/>
    <x v="27"/>
    <n v="27"/>
    <n v="0"/>
    <n v="27"/>
    <n v="0.03"/>
    <x v="3"/>
  </r>
  <r>
    <x v="8"/>
    <x v="42"/>
    <x v="22"/>
    <n v="35"/>
    <n v="0"/>
    <n v="35"/>
    <n v="0.03"/>
    <x v="3"/>
  </r>
  <r>
    <x v="9"/>
    <x v="43"/>
    <x v="28"/>
    <n v="133"/>
    <n v="0"/>
    <n v="133"/>
    <n v="0.13"/>
    <x v="3"/>
  </r>
  <r>
    <x v="10"/>
    <x v="44"/>
    <x v="5"/>
    <n v="64"/>
    <n v="0"/>
    <n v="64"/>
    <n v="0.06"/>
    <x v="3"/>
  </r>
  <r>
    <x v="11"/>
    <x v="45"/>
    <x v="5"/>
    <n v="111"/>
    <n v="0"/>
    <n v="111"/>
    <n v="0.11"/>
    <x v="3"/>
  </r>
  <r>
    <x v="12"/>
    <x v="46"/>
    <x v="5"/>
    <n v="140"/>
    <n v="0"/>
    <n v="140"/>
    <n v="0.14000000000000001"/>
    <x v="3"/>
  </r>
  <r>
    <x v="13"/>
    <x v="47"/>
    <x v="5"/>
    <n v="116"/>
    <n v="0"/>
    <n v="116"/>
    <n v="0.12"/>
    <x v="3"/>
  </r>
  <r>
    <x v="14"/>
    <x v="7"/>
    <x v="6"/>
    <n v="374"/>
    <n v="3"/>
    <n v="377"/>
    <n v="0.38"/>
    <x v="3"/>
  </r>
  <r>
    <x v="0"/>
    <x v="48"/>
    <x v="2"/>
    <n v="45937"/>
    <n v="92"/>
    <n v="46029"/>
    <n v="30.51"/>
    <x v="4"/>
  </r>
  <r>
    <x v="1"/>
    <x v="49"/>
    <x v="1"/>
    <n v="61011"/>
    <n v="181"/>
    <n v="61192"/>
    <n v="40.56"/>
    <x v="4"/>
  </r>
  <r>
    <x v="2"/>
    <x v="50"/>
    <x v="0"/>
    <n v="40980"/>
    <n v="91"/>
    <n v="41071"/>
    <n v="27.22"/>
    <x v="4"/>
  </r>
  <r>
    <x v="3"/>
    <x v="51"/>
    <x v="7"/>
    <n v="723"/>
    <n v="2"/>
    <n v="725"/>
    <n v="0.48"/>
    <x v="4"/>
  </r>
  <r>
    <x v="4"/>
    <x v="52"/>
    <x v="29"/>
    <n v="76"/>
    <n v="0"/>
    <n v="76"/>
    <n v="0.05"/>
    <x v="4"/>
  </r>
  <r>
    <x v="5"/>
    <x v="53"/>
    <x v="30"/>
    <n v="250"/>
    <n v="0"/>
    <n v="250"/>
    <n v="0.17"/>
    <x v="4"/>
  </r>
  <r>
    <x v="6"/>
    <x v="54"/>
    <x v="14"/>
    <n v="92"/>
    <n v="0"/>
    <n v="92"/>
    <n v="0.06"/>
    <x v="4"/>
  </r>
  <r>
    <x v="7"/>
    <x v="55"/>
    <x v="24"/>
    <n v="68"/>
    <n v="0"/>
    <n v="68"/>
    <n v="0.05"/>
    <x v="4"/>
  </r>
  <r>
    <x v="8"/>
    <x v="56"/>
    <x v="12"/>
    <n v="64"/>
    <n v="0"/>
    <n v="64"/>
    <n v="0.04"/>
    <x v="4"/>
  </r>
  <r>
    <x v="9"/>
    <x v="57"/>
    <x v="5"/>
    <n v="158"/>
    <n v="0"/>
    <n v="158"/>
    <n v="0.1"/>
    <x v="4"/>
  </r>
  <r>
    <x v="10"/>
    <x v="58"/>
    <x v="5"/>
    <n v="214"/>
    <n v="0"/>
    <n v="214"/>
    <n v="0.14000000000000001"/>
    <x v="4"/>
  </r>
  <r>
    <x v="11"/>
    <x v="59"/>
    <x v="5"/>
    <n v="235"/>
    <n v="0"/>
    <n v="235"/>
    <n v="0.16"/>
    <x v="4"/>
  </r>
  <r>
    <x v="12"/>
    <x v="7"/>
    <x v="6"/>
    <n v="687"/>
    <n v="5"/>
    <n v="692"/>
    <n v="0.46"/>
    <x v="4"/>
  </r>
  <r>
    <x v="0"/>
    <x v="60"/>
    <x v="1"/>
    <n v="103950"/>
    <n v="421"/>
    <n v="104371"/>
    <n v="55.76"/>
    <x v="5"/>
  </r>
  <r>
    <x v="1"/>
    <x v="61"/>
    <x v="7"/>
    <n v="615"/>
    <n v="4"/>
    <n v="619"/>
    <n v="0.33"/>
    <x v="5"/>
  </r>
  <r>
    <x v="2"/>
    <x v="62"/>
    <x v="2"/>
    <n v="74591"/>
    <n v="164"/>
    <n v="74755"/>
    <n v="39.94"/>
    <x v="5"/>
  </r>
  <r>
    <x v="3"/>
    <x v="63"/>
    <x v="0"/>
    <n v="5216"/>
    <n v="42"/>
    <n v="5258"/>
    <n v="2.81"/>
    <x v="5"/>
  </r>
  <r>
    <x v="4"/>
    <x v="64"/>
    <x v="31"/>
    <n v="213"/>
    <n v="0"/>
    <n v="213"/>
    <n v="0.11"/>
    <x v="5"/>
  </r>
  <r>
    <x v="5"/>
    <x v="65"/>
    <x v="22"/>
    <n v="114"/>
    <n v="0"/>
    <n v="114"/>
    <n v="0.06"/>
    <x v="5"/>
  </r>
  <r>
    <x v="6"/>
    <x v="66"/>
    <x v="32"/>
    <n v="55"/>
    <n v="1"/>
    <n v="56"/>
    <n v="0.03"/>
    <x v="5"/>
  </r>
  <r>
    <x v="7"/>
    <x v="67"/>
    <x v="33"/>
    <n v="154"/>
    <n v="1"/>
    <n v="155"/>
    <n v="0.08"/>
    <x v="5"/>
  </r>
  <r>
    <x v="8"/>
    <x v="68"/>
    <x v="5"/>
    <n v="104"/>
    <n v="0"/>
    <n v="104"/>
    <n v="0.06"/>
    <x v="5"/>
  </r>
  <r>
    <x v="9"/>
    <x v="69"/>
    <x v="5"/>
    <n v="167"/>
    <n v="0"/>
    <n v="167"/>
    <n v="0.09"/>
    <x v="5"/>
  </r>
  <r>
    <x v="10"/>
    <x v="70"/>
    <x v="5"/>
    <n v="117"/>
    <n v="0"/>
    <n v="117"/>
    <n v="0.06"/>
    <x v="5"/>
  </r>
  <r>
    <x v="11"/>
    <x v="7"/>
    <x v="6"/>
    <n v="1224"/>
    <n v="11"/>
    <n v="1235"/>
    <n v="0.66"/>
    <x v="5"/>
  </r>
  <r>
    <x v="0"/>
    <x v="71"/>
    <x v="2"/>
    <n v="87874"/>
    <n v="166"/>
    <n v="88040"/>
    <n v="38.299999999999997"/>
    <x v="6"/>
  </r>
  <r>
    <x v="1"/>
    <x v="72"/>
    <x v="1"/>
    <n v="118746"/>
    <n v="769"/>
    <n v="119515"/>
    <n v="52"/>
    <x v="6"/>
  </r>
  <r>
    <x v="2"/>
    <x v="73"/>
    <x v="0"/>
    <n v="18630"/>
    <n v="83"/>
    <n v="18713"/>
    <n v="8.14"/>
    <x v="6"/>
  </r>
  <r>
    <x v="3"/>
    <x v="74"/>
    <x v="7"/>
    <n v="1552"/>
    <n v="5"/>
    <n v="1557"/>
    <n v="0.68"/>
    <x v="6"/>
  </r>
  <r>
    <x v="4"/>
    <x v="75"/>
    <x v="22"/>
    <n v="216"/>
    <n v="0"/>
    <n v="216"/>
    <n v="0.09"/>
    <x v="6"/>
  </r>
  <r>
    <x v="5"/>
    <x v="76"/>
    <x v="32"/>
    <n v="188"/>
    <n v="2"/>
    <n v="190"/>
    <n v="0.08"/>
    <x v="6"/>
  </r>
  <r>
    <x v="6"/>
    <x v="77"/>
    <x v="5"/>
    <n v="278"/>
    <n v="1"/>
    <n v="279"/>
    <n v="0.12"/>
    <x v="6"/>
  </r>
  <r>
    <x v="7"/>
    <x v="7"/>
    <x v="6"/>
    <n v="1339"/>
    <n v="7"/>
    <n v="1346"/>
    <n v="0.59"/>
    <x v="6"/>
  </r>
  <r>
    <x v="0"/>
    <x v="78"/>
    <x v="1"/>
    <n v="89128"/>
    <n v="711"/>
    <n v="89839"/>
    <n v="47.07"/>
    <x v="7"/>
  </r>
  <r>
    <x v="1"/>
    <x v="79"/>
    <x v="2"/>
    <n v="79062"/>
    <n v="227"/>
    <n v="79289"/>
    <n v="41.54"/>
    <x v="7"/>
  </r>
  <r>
    <x v="2"/>
    <x v="80"/>
    <x v="0"/>
    <n v="10241"/>
    <n v="49"/>
    <n v="10290"/>
    <n v="5.39"/>
    <x v="7"/>
  </r>
  <r>
    <x v="3"/>
    <x v="81"/>
    <x v="7"/>
    <n v="544"/>
    <n v="4"/>
    <n v="548"/>
    <n v="0.28999999999999998"/>
    <x v="7"/>
  </r>
  <r>
    <x v="4"/>
    <x v="82"/>
    <x v="34"/>
    <n v="93"/>
    <n v="1"/>
    <n v="94"/>
    <n v="0.05"/>
    <x v="7"/>
  </r>
  <r>
    <x v="5"/>
    <x v="83"/>
    <x v="35"/>
    <n v="86"/>
    <n v="1"/>
    <n v="87"/>
    <n v="0.05"/>
    <x v="7"/>
  </r>
  <r>
    <x v="6"/>
    <x v="84"/>
    <x v="36"/>
    <n v="165"/>
    <n v="1"/>
    <n v="166"/>
    <n v="0.09"/>
    <x v="7"/>
  </r>
  <r>
    <x v="7"/>
    <x v="85"/>
    <x v="11"/>
    <n v="61"/>
    <n v="0"/>
    <n v="61"/>
    <n v="0.03"/>
    <x v="7"/>
  </r>
  <r>
    <x v="8"/>
    <x v="86"/>
    <x v="23"/>
    <n v="84"/>
    <n v="0"/>
    <n v="84"/>
    <n v="0.04"/>
    <x v="7"/>
  </r>
  <r>
    <x v="9"/>
    <x v="87"/>
    <x v="5"/>
    <n v="112"/>
    <n v="3"/>
    <n v="115"/>
    <n v="0.06"/>
    <x v="7"/>
  </r>
  <r>
    <x v="10"/>
    <x v="88"/>
    <x v="5"/>
    <n v="128"/>
    <n v="1"/>
    <n v="129"/>
    <n v="7.0000000000000007E-2"/>
    <x v="7"/>
  </r>
  <r>
    <x v="11"/>
    <x v="89"/>
    <x v="5"/>
    <n v="8621"/>
    <n v="34"/>
    <n v="8655"/>
    <n v="4.53"/>
    <x v="7"/>
  </r>
  <r>
    <x v="12"/>
    <x v="90"/>
    <x v="5"/>
    <n v="408"/>
    <n v="0"/>
    <n v="408"/>
    <n v="0.21"/>
    <x v="7"/>
  </r>
  <r>
    <x v="13"/>
    <x v="7"/>
    <x v="6"/>
    <n v="1076"/>
    <n v="12"/>
    <n v="1088"/>
    <n v="0.56999999999999995"/>
    <x v="7"/>
  </r>
  <r>
    <x v="0"/>
    <x v="91"/>
    <x v="2"/>
    <n v="105660"/>
    <n v="120"/>
    <n v="105780"/>
    <n v="52.26"/>
    <x v="8"/>
  </r>
  <r>
    <x v="1"/>
    <x v="92"/>
    <x v="7"/>
    <n v="2116"/>
    <n v="12"/>
    <n v="2128"/>
    <n v="1.05"/>
    <x v="8"/>
  </r>
  <r>
    <x v="2"/>
    <x v="93"/>
    <x v="1"/>
    <n v="83749"/>
    <n v="160"/>
    <n v="83909"/>
    <n v="41.45"/>
    <x v="8"/>
  </r>
  <r>
    <x v="3"/>
    <x v="94"/>
    <x v="0"/>
    <n v="6847"/>
    <n v="17"/>
    <n v="6864"/>
    <n v="3.39"/>
    <x v="8"/>
  </r>
  <r>
    <x v="4"/>
    <x v="95"/>
    <x v="37"/>
    <n v="208"/>
    <n v="0"/>
    <n v="208"/>
    <n v="0.1"/>
    <x v="8"/>
  </r>
  <r>
    <x v="5"/>
    <x v="96"/>
    <x v="4"/>
    <n v="885"/>
    <n v="0"/>
    <n v="885"/>
    <n v="0.44"/>
    <x v="8"/>
  </r>
  <r>
    <x v="6"/>
    <x v="97"/>
    <x v="38"/>
    <n v="212"/>
    <n v="0"/>
    <n v="212"/>
    <n v="0.1"/>
    <x v="8"/>
  </r>
  <r>
    <x v="7"/>
    <x v="98"/>
    <x v="5"/>
    <n v="588"/>
    <n v="0"/>
    <n v="588"/>
    <n v="0.28999999999999998"/>
    <x v="8"/>
  </r>
  <r>
    <x v="8"/>
    <x v="99"/>
    <x v="5"/>
    <n v="472"/>
    <n v="1"/>
    <n v="473"/>
    <n v="0.23"/>
    <x v="8"/>
  </r>
  <r>
    <x v="9"/>
    <x v="7"/>
    <x v="6"/>
    <n v="1363"/>
    <n v="3"/>
    <n v="1366"/>
    <n v="0.67"/>
    <x v="8"/>
  </r>
  <r>
    <x v="0"/>
    <x v="100"/>
    <x v="1"/>
    <n v="41549"/>
    <n v="92"/>
    <n v="41641"/>
    <n v="36.909999999999997"/>
    <x v="9"/>
  </r>
  <r>
    <x v="1"/>
    <x v="60"/>
    <x v="7"/>
    <n v="1882"/>
    <n v="3"/>
    <n v="1885"/>
    <n v="1.67"/>
    <x v="9"/>
  </r>
  <r>
    <x v="2"/>
    <x v="101"/>
    <x v="0"/>
    <n v="8671"/>
    <n v="17"/>
    <n v="8688"/>
    <n v="7.7"/>
    <x v="9"/>
  </r>
  <r>
    <x v="3"/>
    <x v="102"/>
    <x v="2"/>
    <n v="58687"/>
    <n v="80"/>
    <n v="58767"/>
    <n v="52.09"/>
    <x v="9"/>
  </r>
  <r>
    <x v="4"/>
    <x v="103"/>
    <x v="39"/>
    <n v="151"/>
    <n v="0"/>
    <n v="151"/>
    <n v="0.13"/>
    <x v="9"/>
  </r>
  <r>
    <x v="5"/>
    <x v="104"/>
    <x v="33"/>
    <n v="555"/>
    <n v="0"/>
    <n v="555"/>
    <n v="0.49"/>
    <x v="9"/>
  </r>
  <r>
    <x v="6"/>
    <x v="105"/>
    <x v="31"/>
    <n v="82"/>
    <n v="0"/>
    <n v="82"/>
    <n v="7.0000000000000007E-2"/>
    <x v="9"/>
  </r>
  <r>
    <x v="7"/>
    <x v="106"/>
    <x v="29"/>
    <n v="91"/>
    <n v="0"/>
    <n v="91"/>
    <n v="0.08"/>
    <x v="9"/>
  </r>
  <r>
    <x v="8"/>
    <x v="107"/>
    <x v="20"/>
    <n v="70"/>
    <n v="0"/>
    <n v="70"/>
    <n v="0.06"/>
    <x v="9"/>
  </r>
  <r>
    <x v="9"/>
    <x v="108"/>
    <x v="40"/>
    <n v="72"/>
    <n v="0"/>
    <n v="72"/>
    <n v="0.06"/>
    <x v="9"/>
  </r>
  <r>
    <x v="10"/>
    <x v="109"/>
    <x v="5"/>
    <n v="177"/>
    <n v="0"/>
    <n v="177"/>
    <n v="0.16"/>
    <x v="9"/>
  </r>
  <r>
    <x v="11"/>
    <x v="110"/>
    <x v="5"/>
    <n v="150"/>
    <n v="2"/>
    <n v="152"/>
    <n v="0.13"/>
    <x v="9"/>
  </r>
  <r>
    <x v="12"/>
    <x v="7"/>
    <x v="6"/>
    <n v="488"/>
    <n v="6"/>
    <n v="494"/>
    <n v="0.44"/>
    <x v="9"/>
  </r>
  <r>
    <x v="0"/>
    <x v="111"/>
    <x v="1"/>
    <n v="74950"/>
    <n v="322"/>
    <n v="75272"/>
    <n v="47.25"/>
    <x v="10"/>
  </r>
  <r>
    <x v="1"/>
    <x v="112"/>
    <x v="7"/>
    <n v="792"/>
    <n v="3"/>
    <n v="795"/>
    <n v="0.5"/>
    <x v="10"/>
  </r>
  <r>
    <x v="2"/>
    <x v="113"/>
    <x v="2"/>
    <n v="48907"/>
    <n v="114"/>
    <n v="49021"/>
    <n v="30.77"/>
    <x v="10"/>
  </r>
  <r>
    <x v="3"/>
    <x v="114"/>
    <x v="0"/>
    <n v="31918"/>
    <n v="110"/>
    <n v="32028"/>
    <n v="20.100000000000001"/>
    <x v="10"/>
  </r>
  <r>
    <x v="4"/>
    <x v="115"/>
    <x v="38"/>
    <n v="162"/>
    <n v="0"/>
    <n v="162"/>
    <n v="0.1"/>
    <x v="10"/>
  </r>
  <r>
    <x v="5"/>
    <x v="116"/>
    <x v="40"/>
    <n v="152"/>
    <n v="0"/>
    <n v="152"/>
    <n v="0.1"/>
    <x v="10"/>
  </r>
  <r>
    <x v="6"/>
    <x v="117"/>
    <x v="41"/>
    <n v="389"/>
    <n v="1"/>
    <n v="390"/>
    <n v="0.24"/>
    <x v="10"/>
  </r>
  <r>
    <x v="7"/>
    <x v="118"/>
    <x v="22"/>
    <n v="204"/>
    <n v="1"/>
    <n v="205"/>
    <n v="0.13"/>
    <x v="10"/>
  </r>
  <r>
    <x v="8"/>
    <x v="119"/>
    <x v="5"/>
    <n v="373"/>
    <n v="0"/>
    <n v="373"/>
    <n v="0.23"/>
    <x v="10"/>
  </r>
  <r>
    <x v="9"/>
    <x v="7"/>
    <x v="6"/>
    <n v="915"/>
    <n v="9"/>
    <n v="924"/>
    <n v="0.57999999999999996"/>
    <x v="10"/>
  </r>
  <r>
    <x v="0"/>
    <x v="120"/>
    <x v="2"/>
    <n v="55659"/>
    <n v="93"/>
    <n v="55752"/>
    <n v="45.16"/>
    <x v="11"/>
  </r>
  <r>
    <x v="1"/>
    <x v="112"/>
    <x v="7"/>
    <n v="721"/>
    <n v="3"/>
    <n v="724"/>
    <n v="0.59"/>
    <x v="11"/>
  </r>
  <r>
    <x v="2"/>
    <x v="121"/>
    <x v="1"/>
    <n v="61805"/>
    <n v="202"/>
    <n v="62007"/>
    <n v="50.23"/>
    <x v="11"/>
  </r>
  <r>
    <x v="3"/>
    <x v="122"/>
    <x v="0"/>
    <n v="3761"/>
    <n v="23"/>
    <n v="3784"/>
    <n v="3.07"/>
    <x v="11"/>
  </r>
  <r>
    <x v="4"/>
    <x v="123"/>
    <x v="42"/>
    <n v="171"/>
    <n v="0"/>
    <n v="171"/>
    <n v="0.14000000000000001"/>
    <x v="11"/>
  </r>
  <r>
    <x v="5"/>
    <x v="124"/>
    <x v="5"/>
    <n v="250"/>
    <n v="0"/>
    <n v="250"/>
    <n v="0.2"/>
    <x v="11"/>
  </r>
  <r>
    <x v="6"/>
    <x v="7"/>
    <x v="6"/>
    <n v="760"/>
    <n v="2"/>
    <n v="762"/>
    <n v="0.62"/>
    <x v="11"/>
  </r>
  <r>
    <x v="0"/>
    <x v="125"/>
    <x v="2"/>
    <n v="32442"/>
    <n v="107"/>
    <n v="32549"/>
    <n v="30.07"/>
    <x v="12"/>
  </r>
  <r>
    <x v="1"/>
    <x v="126"/>
    <x v="1"/>
    <n v="69890"/>
    <n v="475"/>
    <n v="70365"/>
    <n v="65.010000000000005"/>
    <x v="12"/>
  </r>
  <r>
    <x v="2"/>
    <x v="127"/>
    <x v="0"/>
    <n v="3721"/>
    <n v="44"/>
    <n v="3765"/>
    <n v="3.48"/>
    <x v="12"/>
  </r>
  <r>
    <x v="3"/>
    <x v="128"/>
    <x v="7"/>
    <n v="194"/>
    <n v="3"/>
    <n v="197"/>
    <n v="0.18"/>
    <x v="12"/>
  </r>
  <r>
    <x v="4"/>
    <x v="129"/>
    <x v="33"/>
    <n v="118"/>
    <n v="0"/>
    <n v="118"/>
    <n v="0.11"/>
    <x v="12"/>
  </r>
  <r>
    <x v="5"/>
    <x v="130"/>
    <x v="21"/>
    <n v="91"/>
    <n v="1"/>
    <n v="92"/>
    <n v="0.09"/>
    <x v="12"/>
  </r>
  <r>
    <x v="6"/>
    <x v="131"/>
    <x v="5"/>
    <n v="52"/>
    <n v="2"/>
    <n v="54"/>
    <n v="0.05"/>
    <x v="12"/>
  </r>
  <r>
    <x v="7"/>
    <x v="132"/>
    <x v="5"/>
    <n v="62"/>
    <n v="0"/>
    <n v="62"/>
    <n v="0.06"/>
    <x v="12"/>
  </r>
  <r>
    <x v="8"/>
    <x v="7"/>
    <x v="6"/>
    <n v="1027"/>
    <n v="4"/>
    <n v="1031"/>
    <n v="0.95"/>
    <x v="12"/>
  </r>
  <r>
    <x v="0"/>
    <x v="133"/>
    <x v="0"/>
    <n v="4845"/>
    <n v="47"/>
    <n v="4892"/>
    <n v="4.3"/>
    <x v="13"/>
  </r>
  <r>
    <x v="1"/>
    <x v="134"/>
    <x v="2"/>
    <n v="38487"/>
    <n v="118"/>
    <n v="38605"/>
    <n v="33.93"/>
    <x v="13"/>
  </r>
  <r>
    <x v="2"/>
    <x v="135"/>
    <x v="1"/>
    <n v="67839"/>
    <n v="361"/>
    <n v="68200"/>
    <n v="59.95"/>
    <x v="13"/>
  </r>
  <r>
    <x v="3"/>
    <x v="136"/>
    <x v="7"/>
    <n v="410"/>
    <n v="1"/>
    <n v="411"/>
    <n v="0.36"/>
    <x v="13"/>
  </r>
  <r>
    <x v="4"/>
    <x v="137"/>
    <x v="43"/>
    <n v="35"/>
    <n v="0"/>
    <n v="35"/>
    <n v="0.03"/>
    <x v="13"/>
  </r>
  <r>
    <x v="5"/>
    <x v="138"/>
    <x v="5"/>
    <n v="98"/>
    <n v="0"/>
    <n v="98"/>
    <n v="0.09"/>
    <x v="13"/>
  </r>
  <r>
    <x v="6"/>
    <x v="139"/>
    <x v="5"/>
    <n v="143"/>
    <n v="0"/>
    <n v="143"/>
    <n v="0.13"/>
    <x v="13"/>
  </r>
  <r>
    <x v="7"/>
    <x v="140"/>
    <x v="5"/>
    <n v="252"/>
    <n v="0"/>
    <n v="252"/>
    <n v="0.22"/>
    <x v="13"/>
  </r>
  <r>
    <x v="8"/>
    <x v="141"/>
    <x v="5"/>
    <n v="356"/>
    <n v="2"/>
    <n v="358"/>
    <n v="0.31"/>
    <x v="13"/>
  </r>
  <r>
    <x v="9"/>
    <x v="7"/>
    <x v="6"/>
    <n v="768"/>
    <n v="2"/>
    <n v="770"/>
    <n v="0.68"/>
    <x v="13"/>
  </r>
  <r>
    <x v="0"/>
    <x v="142"/>
    <x v="1"/>
    <n v="56570"/>
    <n v="299"/>
    <n v="56869"/>
    <n v="57.07"/>
    <x v="14"/>
  </r>
  <r>
    <x v="1"/>
    <x v="143"/>
    <x v="0"/>
    <n v="5736"/>
    <n v="48"/>
    <n v="5784"/>
    <n v="5.8"/>
    <x v="14"/>
  </r>
  <r>
    <x v="2"/>
    <x v="144"/>
    <x v="2"/>
    <n v="35775"/>
    <n v="96"/>
    <n v="35871"/>
    <n v="36"/>
    <x v="14"/>
  </r>
  <r>
    <x v="3"/>
    <x v="145"/>
    <x v="7"/>
    <n v="164"/>
    <n v="0"/>
    <n v="164"/>
    <n v="0.16"/>
    <x v="14"/>
  </r>
  <r>
    <x v="4"/>
    <x v="146"/>
    <x v="31"/>
    <n v="115"/>
    <n v="0"/>
    <n v="115"/>
    <n v="0.12"/>
    <x v="14"/>
  </r>
  <r>
    <x v="5"/>
    <x v="147"/>
    <x v="44"/>
    <n v="99"/>
    <n v="1"/>
    <n v="100"/>
    <n v="0.1"/>
    <x v="14"/>
  </r>
  <r>
    <x v="6"/>
    <x v="148"/>
    <x v="5"/>
    <n v="76"/>
    <n v="0"/>
    <n v="76"/>
    <n v="0.08"/>
    <x v="14"/>
  </r>
  <r>
    <x v="7"/>
    <x v="7"/>
    <x v="6"/>
    <n v="672"/>
    <n v="1"/>
    <n v="673"/>
    <n v="0.68"/>
    <x v="14"/>
  </r>
  <r>
    <x v="0"/>
    <x v="149"/>
    <x v="1"/>
    <n v="58836"/>
    <n v="237"/>
    <n v="59073"/>
    <n v="53.36"/>
    <x v="15"/>
  </r>
  <r>
    <x v="1"/>
    <x v="150"/>
    <x v="7"/>
    <n v="562"/>
    <n v="4"/>
    <n v="566"/>
    <n v="0.51"/>
    <x v="15"/>
  </r>
  <r>
    <x v="2"/>
    <x v="151"/>
    <x v="2"/>
    <n v="43083"/>
    <n v="94"/>
    <n v="43177"/>
    <n v="39"/>
    <x v="15"/>
  </r>
  <r>
    <x v="3"/>
    <x v="152"/>
    <x v="0"/>
    <n v="6867"/>
    <n v="30"/>
    <n v="6897"/>
    <n v="6.23"/>
    <x v="15"/>
  </r>
  <r>
    <x v="4"/>
    <x v="153"/>
    <x v="32"/>
    <n v="180"/>
    <n v="1"/>
    <n v="181"/>
    <n v="0.16"/>
    <x v="15"/>
  </r>
  <r>
    <x v="5"/>
    <x v="154"/>
    <x v="22"/>
    <n v="114"/>
    <n v="1"/>
    <n v="115"/>
    <n v="0.1"/>
    <x v="15"/>
  </r>
  <r>
    <x v="6"/>
    <x v="7"/>
    <x v="6"/>
    <n v="682"/>
    <n v="6"/>
    <n v="688"/>
    <n v="0.62"/>
    <x v="15"/>
  </r>
  <r>
    <x v="0"/>
    <x v="155"/>
    <x v="1"/>
    <n v="54414"/>
    <n v="307"/>
    <n v="54721"/>
    <n v="51.24"/>
    <x v="16"/>
  </r>
  <r>
    <x v="1"/>
    <x v="156"/>
    <x v="0"/>
    <n v="6311"/>
    <n v="37"/>
    <n v="6348"/>
    <n v="5.94"/>
    <x v="16"/>
  </r>
  <r>
    <x v="2"/>
    <x v="147"/>
    <x v="2"/>
    <n v="43194"/>
    <n v="102"/>
    <n v="43296"/>
    <n v="40.54"/>
    <x v="16"/>
  </r>
  <r>
    <x v="3"/>
    <x v="157"/>
    <x v="7"/>
    <n v="1046"/>
    <n v="1"/>
    <n v="1047"/>
    <n v="0.98"/>
    <x v="16"/>
  </r>
  <r>
    <x v="4"/>
    <x v="158"/>
    <x v="28"/>
    <n v="190"/>
    <n v="0"/>
    <n v="190"/>
    <n v="0.18"/>
    <x v="16"/>
  </r>
  <r>
    <x v="5"/>
    <x v="159"/>
    <x v="11"/>
    <n v="64"/>
    <n v="0"/>
    <n v="64"/>
    <n v="0.06"/>
    <x v="16"/>
  </r>
  <r>
    <x v="6"/>
    <x v="160"/>
    <x v="45"/>
    <n v="63"/>
    <n v="0"/>
    <n v="63"/>
    <n v="0.06"/>
    <x v="16"/>
  </r>
  <r>
    <x v="7"/>
    <x v="161"/>
    <x v="5"/>
    <n v="233"/>
    <n v="1"/>
    <n v="234"/>
    <n v="0.22"/>
    <x v="16"/>
  </r>
  <r>
    <x v="8"/>
    <x v="162"/>
    <x v="5"/>
    <n v="173"/>
    <n v="0"/>
    <n v="173"/>
    <n v="0.16"/>
    <x v="16"/>
  </r>
  <r>
    <x v="9"/>
    <x v="7"/>
    <x v="6"/>
    <n v="652"/>
    <n v="0"/>
    <n v="652"/>
    <n v="0.61"/>
    <x v="16"/>
  </r>
  <r>
    <x v="0"/>
    <x v="163"/>
    <x v="2"/>
    <n v="38608"/>
    <n v="85"/>
    <n v="38693"/>
    <n v="40.17"/>
    <x v="17"/>
  </r>
  <r>
    <x v="1"/>
    <x v="164"/>
    <x v="1"/>
    <n v="51848"/>
    <n v="260"/>
    <n v="52108"/>
    <n v="54.1"/>
    <x v="17"/>
  </r>
  <r>
    <x v="2"/>
    <x v="165"/>
    <x v="0"/>
    <n v="3886"/>
    <n v="22"/>
    <n v="3908"/>
    <n v="4.0599999999999996"/>
    <x v="17"/>
  </r>
  <r>
    <x v="3"/>
    <x v="166"/>
    <x v="7"/>
    <n v="372"/>
    <n v="0"/>
    <n v="372"/>
    <n v="0.39"/>
    <x v="17"/>
  </r>
  <r>
    <x v="4"/>
    <x v="167"/>
    <x v="11"/>
    <n v="33"/>
    <n v="0"/>
    <n v="33"/>
    <n v="0.03"/>
    <x v="17"/>
  </r>
  <r>
    <x v="5"/>
    <x v="168"/>
    <x v="46"/>
    <n v="58"/>
    <n v="0"/>
    <n v="58"/>
    <n v="0.06"/>
    <x v="17"/>
  </r>
  <r>
    <x v="6"/>
    <x v="169"/>
    <x v="18"/>
    <n v="118"/>
    <n v="0"/>
    <n v="118"/>
    <n v="0.12"/>
    <x v="17"/>
  </r>
  <r>
    <x v="7"/>
    <x v="170"/>
    <x v="5"/>
    <n v="119"/>
    <n v="0"/>
    <n v="119"/>
    <n v="0.12"/>
    <x v="17"/>
  </r>
  <r>
    <x v="8"/>
    <x v="171"/>
    <x v="5"/>
    <n v="224"/>
    <n v="0"/>
    <n v="224"/>
    <n v="0.23"/>
    <x v="17"/>
  </r>
  <r>
    <x v="9"/>
    <x v="7"/>
    <x v="6"/>
    <n v="682"/>
    <n v="3"/>
    <n v="685"/>
    <n v="0.71"/>
    <x v="17"/>
  </r>
  <r>
    <x v="0"/>
    <x v="172"/>
    <x v="0"/>
    <n v="10022"/>
    <n v="35"/>
    <n v="10057"/>
    <n v="8.49"/>
    <x v="18"/>
  </r>
  <r>
    <x v="1"/>
    <x v="173"/>
    <x v="1"/>
    <n v="49671"/>
    <n v="199"/>
    <n v="49870"/>
    <n v="42.12"/>
    <x v="18"/>
  </r>
  <r>
    <x v="2"/>
    <x v="174"/>
    <x v="7"/>
    <n v="708"/>
    <n v="1"/>
    <n v="709"/>
    <n v="0.6"/>
    <x v="18"/>
  </r>
  <r>
    <x v="3"/>
    <x v="175"/>
    <x v="2"/>
    <n v="56070"/>
    <n v="107"/>
    <n v="56177"/>
    <n v="47.45"/>
    <x v="18"/>
  </r>
  <r>
    <x v="4"/>
    <x v="176"/>
    <x v="32"/>
    <n v="123"/>
    <n v="0"/>
    <n v="123"/>
    <n v="0.1"/>
    <x v="18"/>
  </r>
  <r>
    <x v="5"/>
    <x v="177"/>
    <x v="30"/>
    <n v="184"/>
    <n v="0"/>
    <n v="184"/>
    <n v="0.16"/>
    <x v="18"/>
  </r>
  <r>
    <x v="6"/>
    <x v="178"/>
    <x v="47"/>
    <n v="49"/>
    <n v="1"/>
    <n v="50"/>
    <n v="0.04"/>
    <x v="18"/>
  </r>
  <r>
    <x v="7"/>
    <x v="179"/>
    <x v="33"/>
    <n v="213"/>
    <n v="0"/>
    <n v="213"/>
    <n v="0.18"/>
    <x v="18"/>
  </r>
  <r>
    <x v="8"/>
    <x v="180"/>
    <x v="48"/>
    <n v="247"/>
    <n v="0"/>
    <n v="247"/>
    <n v="0.21"/>
    <x v="18"/>
  </r>
  <r>
    <x v="9"/>
    <x v="181"/>
    <x v="49"/>
    <n v="84"/>
    <n v="0"/>
    <n v="84"/>
    <n v="7.0000000000000007E-2"/>
    <x v="18"/>
  </r>
  <r>
    <x v="10"/>
    <x v="182"/>
    <x v="50"/>
    <n v="100"/>
    <n v="0"/>
    <n v="100"/>
    <n v="0.08"/>
    <x v="18"/>
  </r>
  <r>
    <x v="11"/>
    <x v="7"/>
    <x v="6"/>
    <n v="584"/>
    <n v="2"/>
    <n v="586"/>
    <n v="0.49"/>
    <x v="18"/>
  </r>
  <r>
    <x v="0"/>
    <x v="183"/>
    <x v="7"/>
    <n v="246"/>
    <n v="0"/>
    <n v="246"/>
    <n v="0.35"/>
    <x v="19"/>
  </r>
  <r>
    <x v="1"/>
    <x v="184"/>
    <x v="2"/>
    <n v="38932"/>
    <n v="61"/>
    <n v="38993"/>
    <n v="54.79"/>
    <x v="19"/>
  </r>
  <r>
    <x v="2"/>
    <x v="185"/>
    <x v="0"/>
    <n v="9038"/>
    <n v="27"/>
    <n v="9065"/>
    <n v="12.74"/>
    <x v="19"/>
  </r>
  <r>
    <x v="3"/>
    <x v="186"/>
    <x v="1"/>
    <n v="22359"/>
    <n v="62"/>
    <n v="22421"/>
    <n v="31.5"/>
    <x v="19"/>
  </r>
  <r>
    <x v="4"/>
    <x v="187"/>
    <x v="14"/>
    <n v="81"/>
    <n v="0"/>
    <n v="81"/>
    <n v="0.11"/>
    <x v="19"/>
  </r>
  <r>
    <x v="5"/>
    <x v="188"/>
    <x v="23"/>
    <n v="45"/>
    <n v="0"/>
    <n v="45"/>
    <n v="0.06"/>
    <x v="19"/>
  </r>
  <r>
    <x v="6"/>
    <x v="189"/>
    <x v="11"/>
    <n v="69"/>
    <n v="0"/>
    <n v="69"/>
    <n v="0.1"/>
    <x v="19"/>
  </r>
  <r>
    <x v="7"/>
    <x v="7"/>
    <x v="6"/>
    <n v="249"/>
    <n v="4"/>
    <n v="253"/>
    <n v="0.36"/>
    <x v="19"/>
  </r>
  <r>
    <x v="0"/>
    <x v="190"/>
    <x v="2"/>
    <n v="58041"/>
    <n v="79"/>
    <n v="58120"/>
    <n v="68.8"/>
    <x v="20"/>
  </r>
  <r>
    <x v="1"/>
    <x v="191"/>
    <x v="0"/>
    <n v="10274"/>
    <n v="21"/>
    <n v="10295"/>
    <n v="12.19"/>
    <x v="20"/>
  </r>
  <r>
    <x v="2"/>
    <x v="192"/>
    <x v="7"/>
    <n v="129"/>
    <n v="1"/>
    <n v="130"/>
    <n v="0.15"/>
    <x v="20"/>
  </r>
  <r>
    <x v="3"/>
    <x v="193"/>
    <x v="1"/>
    <n v="15351"/>
    <n v="45"/>
    <n v="15396"/>
    <n v="18.23"/>
    <x v="20"/>
  </r>
  <r>
    <x v="4"/>
    <x v="194"/>
    <x v="14"/>
    <n v="56"/>
    <n v="0"/>
    <n v="56"/>
    <n v="7.0000000000000007E-2"/>
    <x v="20"/>
  </r>
  <r>
    <x v="5"/>
    <x v="195"/>
    <x v="5"/>
    <n v="93"/>
    <n v="0"/>
    <n v="93"/>
    <n v="0.11"/>
    <x v="20"/>
  </r>
  <r>
    <x v="6"/>
    <x v="196"/>
    <x v="5"/>
    <n v="10"/>
    <n v="1"/>
    <n v="11"/>
    <n v="0.01"/>
    <x v="20"/>
  </r>
  <r>
    <x v="7"/>
    <x v="197"/>
    <x v="5"/>
    <n v="31"/>
    <n v="0"/>
    <n v="31"/>
    <n v="0.04"/>
    <x v="20"/>
  </r>
  <r>
    <x v="8"/>
    <x v="198"/>
    <x v="5"/>
    <n v="35"/>
    <n v="0"/>
    <n v="35"/>
    <n v="0.04"/>
    <x v="20"/>
  </r>
  <r>
    <x v="9"/>
    <x v="199"/>
    <x v="5"/>
    <n v="60"/>
    <n v="0"/>
    <n v="60"/>
    <n v="7.0000000000000007E-2"/>
    <x v="20"/>
  </r>
  <r>
    <x v="10"/>
    <x v="200"/>
    <x v="5"/>
    <n v="31"/>
    <n v="0"/>
    <n v="31"/>
    <n v="0.04"/>
    <x v="20"/>
  </r>
  <r>
    <x v="11"/>
    <x v="7"/>
    <x v="6"/>
    <n v="217"/>
    <n v="0"/>
    <n v="217"/>
    <n v="0.26"/>
    <x v="20"/>
  </r>
  <r>
    <x v="0"/>
    <x v="201"/>
    <x v="2"/>
    <n v="56932"/>
    <n v="72"/>
    <n v="57004"/>
    <n v="58"/>
    <x v="21"/>
  </r>
  <r>
    <x v="1"/>
    <x v="202"/>
    <x v="1"/>
    <n v="27119"/>
    <n v="62"/>
    <n v="27181"/>
    <n v="27.66"/>
    <x v="21"/>
  </r>
  <r>
    <x v="2"/>
    <x v="203"/>
    <x v="7"/>
    <n v="190"/>
    <n v="0"/>
    <n v="190"/>
    <n v="0.19"/>
    <x v="21"/>
  </r>
  <r>
    <x v="3"/>
    <x v="204"/>
    <x v="0"/>
    <n v="13038"/>
    <n v="21"/>
    <n v="13059"/>
    <n v="13.29"/>
    <x v="21"/>
  </r>
  <r>
    <x v="4"/>
    <x v="205"/>
    <x v="51"/>
    <n v="224"/>
    <n v="0"/>
    <n v="224"/>
    <n v="0.23"/>
    <x v="21"/>
  </r>
  <r>
    <x v="5"/>
    <x v="206"/>
    <x v="14"/>
    <n v="38"/>
    <n v="0"/>
    <n v="38"/>
    <n v="0.04"/>
    <x v="21"/>
  </r>
  <r>
    <x v="6"/>
    <x v="106"/>
    <x v="5"/>
    <n v="130"/>
    <n v="1"/>
    <n v="131"/>
    <n v="0.13"/>
    <x v="21"/>
  </r>
  <r>
    <x v="7"/>
    <x v="207"/>
    <x v="5"/>
    <n v="72"/>
    <n v="0"/>
    <n v="72"/>
    <n v="7.0000000000000007E-2"/>
    <x v="21"/>
  </r>
  <r>
    <x v="8"/>
    <x v="208"/>
    <x v="5"/>
    <n v="77"/>
    <n v="0"/>
    <n v="77"/>
    <n v="0.08"/>
    <x v="21"/>
  </r>
  <r>
    <x v="9"/>
    <x v="7"/>
    <x v="6"/>
    <n v="299"/>
    <n v="2"/>
    <n v="301"/>
    <n v="0.31"/>
    <x v="21"/>
  </r>
  <r>
    <x v="0"/>
    <x v="209"/>
    <x v="1"/>
    <n v="44750"/>
    <n v="117"/>
    <n v="44867"/>
    <n v="43.65"/>
    <x v="22"/>
  </r>
  <r>
    <x v="1"/>
    <x v="210"/>
    <x v="0"/>
    <n v="4232"/>
    <n v="20"/>
    <n v="4252"/>
    <n v="4.1399999999999997"/>
    <x v="22"/>
  </r>
  <r>
    <x v="2"/>
    <x v="211"/>
    <x v="7"/>
    <n v="624"/>
    <n v="2"/>
    <n v="626"/>
    <n v="0.61"/>
    <x v="22"/>
  </r>
  <r>
    <x v="3"/>
    <x v="212"/>
    <x v="2"/>
    <n v="52153"/>
    <n v="144"/>
    <n v="52297"/>
    <n v="50.88"/>
    <x v="22"/>
  </r>
  <r>
    <x v="4"/>
    <x v="213"/>
    <x v="52"/>
    <n v="116"/>
    <n v="0"/>
    <n v="116"/>
    <n v="0.11"/>
    <x v="22"/>
  </r>
  <r>
    <x v="5"/>
    <x v="109"/>
    <x v="5"/>
    <n v="87"/>
    <n v="1"/>
    <n v="88"/>
    <n v="0.09"/>
    <x v="22"/>
  </r>
  <r>
    <x v="6"/>
    <x v="7"/>
    <x v="6"/>
    <n v="543"/>
    <n v="5"/>
    <n v="548"/>
    <n v="0.53"/>
    <x v="22"/>
  </r>
  <r>
    <x v="0"/>
    <x v="214"/>
    <x v="0"/>
    <n v="4610"/>
    <n v="44"/>
    <n v="4654"/>
    <n v="3.97"/>
    <x v="23"/>
  </r>
  <r>
    <x v="1"/>
    <x v="215"/>
    <x v="2"/>
    <n v="57408"/>
    <n v="104"/>
    <n v="57512"/>
    <n v="49"/>
    <x v="23"/>
  </r>
  <r>
    <x v="2"/>
    <x v="216"/>
    <x v="1"/>
    <n v="53273"/>
    <n v="190"/>
    <n v="53463"/>
    <n v="45.55"/>
    <x v="23"/>
  </r>
  <r>
    <x v="3"/>
    <x v="217"/>
    <x v="7"/>
    <n v="712"/>
    <n v="2"/>
    <n v="714"/>
    <n v="0.61"/>
    <x v="23"/>
  </r>
  <r>
    <x v="4"/>
    <x v="218"/>
    <x v="4"/>
    <n v="255"/>
    <n v="0"/>
    <n v="255"/>
    <n v="0.22"/>
    <x v="23"/>
  </r>
  <r>
    <x v="5"/>
    <x v="7"/>
    <x v="6"/>
    <n v="768"/>
    <n v="4"/>
    <n v="772"/>
    <n v="0.66"/>
    <x v="23"/>
  </r>
  <r>
    <x v="0"/>
    <x v="219"/>
    <x v="7"/>
    <n v="848"/>
    <n v="3"/>
    <n v="851"/>
    <n v="0.78"/>
    <x v="24"/>
  </r>
  <r>
    <x v="1"/>
    <x v="220"/>
    <x v="0"/>
    <n v="3316"/>
    <n v="18"/>
    <n v="3334"/>
    <n v="3.05"/>
    <x v="24"/>
  </r>
  <r>
    <x v="2"/>
    <x v="221"/>
    <x v="2"/>
    <n v="45827"/>
    <n v="81"/>
    <n v="45908"/>
    <n v="41.98"/>
    <x v="24"/>
  </r>
  <r>
    <x v="3"/>
    <x v="222"/>
    <x v="1"/>
    <n v="57364"/>
    <n v="201"/>
    <n v="57565"/>
    <n v="52.64"/>
    <x v="24"/>
  </r>
  <r>
    <x v="4"/>
    <x v="223"/>
    <x v="11"/>
    <n v="124"/>
    <n v="0"/>
    <n v="124"/>
    <n v="0.11"/>
    <x v="24"/>
  </r>
  <r>
    <x v="5"/>
    <x v="224"/>
    <x v="48"/>
    <n v="35"/>
    <n v="0"/>
    <n v="35"/>
    <n v="0.03"/>
    <x v="24"/>
  </r>
  <r>
    <x v="6"/>
    <x v="225"/>
    <x v="38"/>
    <n v="63"/>
    <n v="0"/>
    <n v="63"/>
    <n v="0.06"/>
    <x v="24"/>
  </r>
  <r>
    <x v="7"/>
    <x v="226"/>
    <x v="53"/>
    <n v="70"/>
    <n v="0"/>
    <n v="70"/>
    <n v="0.06"/>
    <x v="24"/>
  </r>
  <r>
    <x v="8"/>
    <x v="227"/>
    <x v="14"/>
    <n v="60"/>
    <n v="0"/>
    <n v="60"/>
    <n v="0.05"/>
    <x v="24"/>
  </r>
  <r>
    <x v="9"/>
    <x v="228"/>
    <x v="5"/>
    <n v="170"/>
    <n v="0"/>
    <n v="170"/>
    <n v="0.16"/>
    <x v="24"/>
  </r>
  <r>
    <x v="10"/>
    <x v="229"/>
    <x v="5"/>
    <n v="415"/>
    <n v="1"/>
    <n v="416"/>
    <n v="0.38"/>
    <x v="24"/>
  </r>
  <r>
    <x v="11"/>
    <x v="230"/>
    <x v="5"/>
    <n v="76"/>
    <n v="0"/>
    <n v="76"/>
    <n v="7.0000000000000007E-2"/>
    <x v="24"/>
  </r>
  <r>
    <x v="12"/>
    <x v="7"/>
    <x v="6"/>
    <n v="687"/>
    <n v="2"/>
    <n v="689"/>
    <n v="0.63"/>
    <x v="24"/>
  </r>
  <r>
    <x v="0"/>
    <x v="231"/>
    <x v="1"/>
    <n v="51824"/>
    <n v="195"/>
    <n v="52019"/>
    <n v="46.08"/>
    <x v="25"/>
  </r>
  <r>
    <x v="1"/>
    <x v="232"/>
    <x v="0"/>
    <n v="17878"/>
    <n v="80"/>
    <n v="17958"/>
    <n v="15.91"/>
    <x v="25"/>
  </r>
  <r>
    <x v="2"/>
    <x v="233"/>
    <x v="2"/>
    <n v="41034"/>
    <n v="86"/>
    <n v="41120"/>
    <n v="36.42"/>
    <x v="25"/>
  </r>
  <r>
    <x v="3"/>
    <x v="234"/>
    <x v="7"/>
    <n v="319"/>
    <n v="2"/>
    <n v="321"/>
    <n v="0.28000000000000003"/>
    <x v="25"/>
  </r>
  <r>
    <x v="4"/>
    <x v="235"/>
    <x v="32"/>
    <n v="66"/>
    <n v="0"/>
    <n v="66"/>
    <n v="0.06"/>
    <x v="25"/>
  </r>
  <r>
    <x v="5"/>
    <x v="236"/>
    <x v="33"/>
    <n v="204"/>
    <n v="0"/>
    <n v="204"/>
    <n v="0.18"/>
    <x v="25"/>
  </r>
  <r>
    <x v="6"/>
    <x v="237"/>
    <x v="54"/>
    <n v="105"/>
    <n v="0"/>
    <n v="105"/>
    <n v="0.09"/>
    <x v="25"/>
  </r>
  <r>
    <x v="7"/>
    <x v="238"/>
    <x v="5"/>
    <n v="206"/>
    <n v="0"/>
    <n v="206"/>
    <n v="0.18"/>
    <x v="25"/>
  </r>
  <r>
    <x v="8"/>
    <x v="239"/>
    <x v="5"/>
    <n v="113"/>
    <n v="0"/>
    <n v="113"/>
    <n v="0.1"/>
    <x v="25"/>
  </r>
  <r>
    <x v="9"/>
    <x v="7"/>
    <x v="6"/>
    <n v="773"/>
    <n v="5"/>
    <n v="778"/>
    <n v="0.69"/>
    <x v="25"/>
  </r>
  <r>
    <x v="0"/>
    <x v="240"/>
    <x v="2"/>
    <n v="45835"/>
    <n v="107"/>
    <n v="45942"/>
    <n v="40.020000000000003"/>
    <x v="26"/>
  </r>
  <r>
    <x v="1"/>
    <x v="241"/>
    <x v="0"/>
    <n v="3171"/>
    <n v="27"/>
    <n v="3198"/>
    <n v="2.79"/>
    <x v="26"/>
  </r>
  <r>
    <x v="2"/>
    <x v="242"/>
    <x v="1"/>
    <n v="63883"/>
    <n v="249"/>
    <n v="64132"/>
    <n v="55.86"/>
    <x v="26"/>
  </r>
  <r>
    <x v="3"/>
    <x v="243"/>
    <x v="7"/>
    <n v="286"/>
    <n v="2"/>
    <n v="288"/>
    <n v="0.25"/>
    <x v="26"/>
  </r>
  <r>
    <x v="4"/>
    <x v="244"/>
    <x v="18"/>
    <n v="64"/>
    <n v="1"/>
    <n v="65"/>
    <n v="0.06"/>
    <x v="26"/>
  </r>
  <r>
    <x v="5"/>
    <x v="245"/>
    <x v="51"/>
    <n v="225"/>
    <n v="0"/>
    <n v="225"/>
    <n v="0.2"/>
    <x v="26"/>
  </r>
  <r>
    <x v="6"/>
    <x v="246"/>
    <x v="55"/>
    <n v="89"/>
    <n v="0"/>
    <n v="89"/>
    <n v="0.08"/>
    <x v="26"/>
  </r>
  <r>
    <x v="7"/>
    <x v="247"/>
    <x v="11"/>
    <n v="84"/>
    <n v="0"/>
    <n v="84"/>
    <n v="7.0000000000000007E-2"/>
    <x v="26"/>
  </r>
  <r>
    <x v="8"/>
    <x v="7"/>
    <x v="6"/>
    <n v="778"/>
    <n v="5"/>
    <n v="783"/>
    <n v="0.68"/>
    <x v="26"/>
  </r>
  <r>
    <x v="0"/>
    <x v="248"/>
    <x v="0"/>
    <n v="4175"/>
    <n v="77"/>
    <n v="4252"/>
    <n v="4.13"/>
    <x v="27"/>
  </r>
  <r>
    <x v="1"/>
    <x v="249"/>
    <x v="7"/>
    <n v="566"/>
    <n v="3"/>
    <n v="569"/>
    <n v="0.55000000000000004"/>
    <x v="27"/>
  </r>
  <r>
    <x v="2"/>
    <x v="250"/>
    <x v="1"/>
    <n v="49608"/>
    <n v="571"/>
    <n v="50179"/>
    <n v="48.7"/>
    <x v="27"/>
  </r>
  <r>
    <x v="3"/>
    <x v="251"/>
    <x v="2"/>
    <n v="43262"/>
    <n v="285"/>
    <n v="43547"/>
    <n v="42.26"/>
    <x v="27"/>
  </r>
  <r>
    <x v="4"/>
    <x v="252"/>
    <x v="9"/>
    <n v="81"/>
    <n v="0"/>
    <n v="81"/>
    <n v="0.08"/>
    <x v="27"/>
  </r>
  <r>
    <x v="5"/>
    <x v="253"/>
    <x v="56"/>
    <n v="83"/>
    <n v="0"/>
    <n v="83"/>
    <n v="0.08"/>
    <x v="27"/>
  </r>
  <r>
    <x v="6"/>
    <x v="218"/>
    <x v="5"/>
    <n v="28"/>
    <n v="1"/>
    <n v="29"/>
    <n v="0.03"/>
    <x v="27"/>
  </r>
  <r>
    <x v="7"/>
    <x v="254"/>
    <x v="5"/>
    <n v="98"/>
    <n v="0"/>
    <n v="98"/>
    <n v="0.1"/>
    <x v="27"/>
  </r>
  <r>
    <x v="8"/>
    <x v="255"/>
    <x v="5"/>
    <n v="3367"/>
    <n v="31"/>
    <n v="3398"/>
    <n v="3.3"/>
    <x v="27"/>
  </r>
  <r>
    <x v="9"/>
    <x v="256"/>
    <x v="5"/>
    <n v="89"/>
    <n v="2"/>
    <n v="91"/>
    <n v="0.09"/>
    <x v="27"/>
  </r>
  <r>
    <x v="10"/>
    <x v="7"/>
    <x v="6"/>
    <n v="705"/>
    <n v="8"/>
    <n v="713"/>
    <n v="0.69"/>
    <x v="27"/>
  </r>
  <r>
    <x v="0"/>
    <x v="257"/>
    <x v="7"/>
    <n v="296"/>
    <n v="5"/>
    <n v="301"/>
    <n v="0.31"/>
    <x v="28"/>
  </r>
  <r>
    <x v="1"/>
    <x v="258"/>
    <x v="2"/>
    <n v="51955"/>
    <n v="179"/>
    <n v="52134"/>
    <n v="54.02"/>
    <x v="28"/>
  </r>
  <r>
    <x v="2"/>
    <x v="259"/>
    <x v="0"/>
    <n v="2716"/>
    <n v="31"/>
    <n v="2747"/>
    <n v="2.85"/>
    <x v="28"/>
  </r>
  <r>
    <x v="3"/>
    <x v="260"/>
    <x v="1"/>
    <n v="40233"/>
    <n v="245"/>
    <n v="40478"/>
    <n v="41.94"/>
    <x v="28"/>
  </r>
  <r>
    <x v="4"/>
    <x v="261"/>
    <x v="5"/>
    <n v="91"/>
    <n v="0"/>
    <n v="91"/>
    <n v="0.09"/>
    <x v="28"/>
  </r>
  <r>
    <x v="5"/>
    <x v="262"/>
    <x v="5"/>
    <n v="145"/>
    <n v="0"/>
    <n v="145"/>
    <n v="0.15"/>
    <x v="28"/>
  </r>
  <r>
    <x v="6"/>
    <x v="7"/>
    <x v="6"/>
    <n v="600"/>
    <n v="7"/>
    <n v="607"/>
    <n v="0.63"/>
    <x v="28"/>
  </r>
  <r>
    <x v="0"/>
    <x v="263"/>
    <x v="1"/>
    <n v="68564"/>
    <n v="422"/>
    <n v="68986"/>
    <n v="55.27"/>
    <x v="29"/>
  </r>
  <r>
    <x v="1"/>
    <x v="264"/>
    <x v="2"/>
    <n v="50045"/>
    <n v="175"/>
    <n v="50220"/>
    <n v="40.229999999999997"/>
    <x v="29"/>
  </r>
  <r>
    <x v="2"/>
    <x v="265"/>
    <x v="7"/>
    <n v="458"/>
    <n v="3"/>
    <n v="461"/>
    <n v="0.37"/>
    <x v="29"/>
  </r>
  <r>
    <x v="3"/>
    <x v="266"/>
    <x v="0"/>
    <n v="3305"/>
    <n v="40"/>
    <n v="3345"/>
    <n v="2.68"/>
    <x v="29"/>
  </r>
  <r>
    <x v="4"/>
    <x v="267"/>
    <x v="57"/>
    <n v="47"/>
    <n v="1"/>
    <n v="48"/>
    <n v="0.04"/>
    <x v="29"/>
  </r>
  <r>
    <x v="5"/>
    <x v="268"/>
    <x v="58"/>
    <n v="69"/>
    <n v="1"/>
    <n v="70"/>
    <n v="0.06"/>
    <x v="29"/>
  </r>
  <r>
    <x v="6"/>
    <x v="269"/>
    <x v="59"/>
    <n v="61"/>
    <n v="0"/>
    <n v="61"/>
    <n v="0.05"/>
    <x v="29"/>
  </r>
  <r>
    <x v="7"/>
    <x v="270"/>
    <x v="14"/>
    <n v="80"/>
    <n v="0"/>
    <n v="80"/>
    <n v="0.06"/>
    <x v="29"/>
  </r>
  <r>
    <x v="8"/>
    <x v="271"/>
    <x v="60"/>
    <n v="43"/>
    <n v="0"/>
    <n v="43"/>
    <n v="0.03"/>
    <x v="29"/>
  </r>
  <r>
    <x v="9"/>
    <x v="272"/>
    <x v="41"/>
    <n v="91"/>
    <n v="0"/>
    <n v="91"/>
    <n v="7.0000000000000007E-2"/>
    <x v="29"/>
  </r>
  <r>
    <x v="10"/>
    <x v="273"/>
    <x v="61"/>
    <n v="20"/>
    <n v="0"/>
    <n v="20"/>
    <n v="0.02"/>
    <x v="29"/>
  </r>
  <r>
    <x v="11"/>
    <x v="274"/>
    <x v="5"/>
    <n v="182"/>
    <n v="1"/>
    <n v="183"/>
    <n v="0.15"/>
    <x v="29"/>
  </r>
  <r>
    <x v="12"/>
    <x v="263"/>
    <x v="5"/>
    <n v="56"/>
    <n v="1"/>
    <n v="57"/>
    <n v="0.05"/>
    <x v="29"/>
  </r>
  <r>
    <x v="13"/>
    <x v="275"/>
    <x v="5"/>
    <n v="60"/>
    <n v="0"/>
    <n v="60"/>
    <n v="0.05"/>
    <x v="29"/>
  </r>
  <r>
    <x v="14"/>
    <x v="276"/>
    <x v="5"/>
    <n v="193"/>
    <n v="0"/>
    <n v="193"/>
    <n v="0.15"/>
    <x v="29"/>
  </r>
  <r>
    <x v="15"/>
    <x v="276"/>
    <x v="5"/>
    <n v="210"/>
    <n v="0"/>
    <n v="210"/>
    <n v="0.17"/>
    <x v="29"/>
  </r>
  <r>
    <x v="16"/>
    <x v="7"/>
    <x v="6"/>
    <n v="684"/>
    <n v="7"/>
    <n v="691"/>
    <n v="0.55000000000000004"/>
    <x v="29"/>
  </r>
  <r>
    <x v="0"/>
    <x v="277"/>
    <x v="7"/>
    <n v="2632"/>
    <n v="10"/>
    <n v="2642"/>
    <n v="0.97"/>
    <x v="30"/>
  </r>
  <r>
    <x v="1"/>
    <x v="278"/>
    <x v="0"/>
    <n v="8397"/>
    <n v="68"/>
    <n v="8465"/>
    <n v="3.09"/>
    <x v="30"/>
  </r>
  <r>
    <x v="2"/>
    <x v="279"/>
    <x v="1"/>
    <n v="135038"/>
    <n v="526"/>
    <n v="135564"/>
    <n v="49.54"/>
    <x v="30"/>
  </r>
  <r>
    <x v="3"/>
    <x v="280"/>
    <x v="2"/>
    <n v="122419"/>
    <n v="269"/>
    <n v="122688"/>
    <n v="44.83"/>
    <x v="30"/>
  </r>
  <r>
    <x v="4"/>
    <x v="281"/>
    <x v="4"/>
    <n v="443"/>
    <n v="0"/>
    <n v="443"/>
    <n v="0.16"/>
    <x v="30"/>
  </r>
  <r>
    <x v="5"/>
    <x v="282"/>
    <x v="9"/>
    <n v="97"/>
    <n v="0"/>
    <n v="97"/>
    <n v="0.04"/>
    <x v="30"/>
  </r>
  <r>
    <x v="6"/>
    <x v="283"/>
    <x v="62"/>
    <n v="69"/>
    <n v="0"/>
    <n v="69"/>
    <n v="0.03"/>
    <x v="30"/>
  </r>
  <r>
    <x v="7"/>
    <x v="284"/>
    <x v="38"/>
    <n v="139"/>
    <n v="0"/>
    <n v="139"/>
    <n v="0.05"/>
    <x v="30"/>
  </r>
  <r>
    <x v="8"/>
    <x v="285"/>
    <x v="63"/>
    <n v="297"/>
    <n v="0"/>
    <n v="297"/>
    <n v="0.11"/>
    <x v="30"/>
  </r>
  <r>
    <x v="9"/>
    <x v="286"/>
    <x v="30"/>
    <n v="420"/>
    <n v="0"/>
    <n v="420"/>
    <n v="0.15"/>
    <x v="30"/>
  </r>
  <r>
    <x v="10"/>
    <x v="287"/>
    <x v="28"/>
    <n v="685"/>
    <n v="2"/>
    <n v="687"/>
    <n v="0.25"/>
    <x v="30"/>
  </r>
  <r>
    <x v="11"/>
    <x v="288"/>
    <x v="5"/>
    <n v="286"/>
    <n v="0"/>
    <n v="286"/>
    <n v="0.1"/>
    <x v="30"/>
  </r>
  <r>
    <x v="12"/>
    <x v="289"/>
    <x v="5"/>
    <n v="390"/>
    <n v="1"/>
    <n v="391"/>
    <n v="0.14000000000000001"/>
    <x v="30"/>
  </r>
  <r>
    <x v="13"/>
    <x v="7"/>
    <x v="6"/>
    <n v="1452"/>
    <n v="8"/>
    <n v="1460"/>
    <n v="0.53"/>
    <x v="30"/>
  </r>
  <r>
    <x v="0"/>
    <x v="290"/>
    <x v="1"/>
    <n v="103137"/>
    <n v="476"/>
    <n v="103613"/>
    <n v="52.84"/>
    <x v="31"/>
  </r>
  <r>
    <x v="1"/>
    <x v="291"/>
    <x v="2"/>
    <n v="73705"/>
    <n v="168"/>
    <n v="73873"/>
    <n v="37.67"/>
    <x v="31"/>
  </r>
  <r>
    <x v="2"/>
    <x v="292"/>
    <x v="7"/>
    <n v="983"/>
    <n v="8"/>
    <n v="991"/>
    <n v="0.51"/>
    <x v="31"/>
  </r>
  <r>
    <x v="3"/>
    <x v="293"/>
    <x v="0"/>
    <n v="15474"/>
    <n v="91"/>
    <n v="15565"/>
    <n v="7.94"/>
    <x v="31"/>
  </r>
  <r>
    <x v="4"/>
    <x v="294"/>
    <x v="31"/>
    <n v="185"/>
    <n v="0"/>
    <n v="185"/>
    <n v="0.09"/>
    <x v="31"/>
  </r>
  <r>
    <x v="5"/>
    <x v="295"/>
    <x v="64"/>
    <n v="79"/>
    <n v="0"/>
    <n v="79"/>
    <n v="0.04"/>
    <x v="31"/>
  </r>
  <r>
    <x v="6"/>
    <x v="296"/>
    <x v="65"/>
    <n v="168"/>
    <n v="0"/>
    <n v="168"/>
    <n v="0.09"/>
    <x v="31"/>
  </r>
  <r>
    <x v="7"/>
    <x v="297"/>
    <x v="5"/>
    <n v="204"/>
    <n v="2"/>
    <n v="206"/>
    <n v="0.11"/>
    <x v="31"/>
  </r>
  <r>
    <x v="8"/>
    <x v="298"/>
    <x v="5"/>
    <n v="196"/>
    <n v="0"/>
    <n v="196"/>
    <n v="0.1"/>
    <x v="31"/>
  </r>
  <r>
    <x v="9"/>
    <x v="7"/>
    <x v="6"/>
    <n v="1209"/>
    <n v="8"/>
    <n v="1217"/>
    <n v="0.62"/>
    <x v="31"/>
  </r>
  <r>
    <x v="0"/>
    <x v="299"/>
    <x v="0"/>
    <n v="6723"/>
    <n v="50"/>
    <n v="6773"/>
    <n v="4.8600000000000003"/>
    <x v="32"/>
  </r>
  <r>
    <x v="1"/>
    <x v="300"/>
    <x v="7"/>
    <n v="541"/>
    <n v="4"/>
    <n v="545"/>
    <n v="0.39"/>
    <x v="32"/>
  </r>
  <r>
    <x v="2"/>
    <x v="301"/>
    <x v="1"/>
    <n v="68832"/>
    <n v="305"/>
    <n v="69137"/>
    <n v="49.56"/>
    <x v="32"/>
  </r>
  <r>
    <x v="3"/>
    <x v="302"/>
    <x v="2"/>
    <n v="61136"/>
    <n v="172"/>
    <n v="61308"/>
    <n v="43.95"/>
    <x v="32"/>
  </r>
  <r>
    <x v="4"/>
    <x v="303"/>
    <x v="59"/>
    <n v="131"/>
    <n v="0"/>
    <n v="131"/>
    <n v="0.09"/>
    <x v="32"/>
  </r>
  <r>
    <x v="5"/>
    <x v="304"/>
    <x v="66"/>
    <n v="58"/>
    <n v="0"/>
    <n v="58"/>
    <n v="0.04"/>
    <x v="32"/>
  </r>
  <r>
    <x v="6"/>
    <x v="305"/>
    <x v="67"/>
    <n v="76"/>
    <n v="0"/>
    <n v="76"/>
    <n v="0.05"/>
    <x v="32"/>
  </r>
  <r>
    <x v="7"/>
    <x v="306"/>
    <x v="11"/>
    <n v="44"/>
    <n v="0"/>
    <n v="44"/>
    <n v="0.03"/>
    <x v="32"/>
  </r>
  <r>
    <x v="8"/>
    <x v="307"/>
    <x v="27"/>
    <n v="130"/>
    <n v="0"/>
    <n v="130"/>
    <n v="0.09"/>
    <x v="32"/>
  </r>
  <r>
    <x v="9"/>
    <x v="308"/>
    <x v="19"/>
    <n v="73"/>
    <n v="1"/>
    <n v="74"/>
    <n v="0.05"/>
    <x v="32"/>
  </r>
  <r>
    <x v="10"/>
    <x v="309"/>
    <x v="38"/>
    <n v="223"/>
    <n v="0"/>
    <n v="223"/>
    <n v="0.16"/>
    <x v="32"/>
  </r>
  <r>
    <x v="11"/>
    <x v="310"/>
    <x v="5"/>
    <n v="172"/>
    <n v="0"/>
    <n v="172"/>
    <n v="0.12"/>
    <x v="32"/>
  </r>
  <r>
    <x v="12"/>
    <x v="311"/>
    <x v="5"/>
    <n v="104"/>
    <n v="0"/>
    <n v="104"/>
    <n v="7.0000000000000007E-2"/>
    <x v="32"/>
  </r>
  <r>
    <x v="13"/>
    <x v="7"/>
    <x v="6"/>
    <n v="725"/>
    <n v="4"/>
    <n v="729"/>
    <n v="0.52"/>
    <x v="32"/>
  </r>
  <r>
    <x v="0"/>
    <x v="312"/>
    <x v="7"/>
    <n v="1116"/>
    <n v="18"/>
    <n v="1134"/>
    <n v="0.41"/>
    <x v="33"/>
  </r>
  <r>
    <x v="1"/>
    <x v="313"/>
    <x v="0"/>
    <n v="9565"/>
    <n v="120"/>
    <n v="9685"/>
    <n v="3.47"/>
    <x v="33"/>
  </r>
  <r>
    <x v="2"/>
    <x v="314"/>
    <x v="2"/>
    <n v="117042"/>
    <n v="530"/>
    <n v="117572"/>
    <n v="42.16"/>
    <x v="33"/>
  </r>
  <r>
    <x v="3"/>
    <x v="315"/>
    <x v="1"/>
    <n v="144938"/>
    <n v="1357"/>
    <n v="146295"/>
    <n v="52.46"/>
    <x v="33"/>
  </r>
  <r>
    <x v="4"/>
    <x v="316"/>
    <x v="9"/>
    <n v="345"/>
    <n v="0"/>
    <n v="345"/>
    <n v="0.12"/>
    <x v="33"/>
  </r>
  <r>
    <x v="5"/>
    <x v="317"/>
    <x v="27"/>
    <n v="73"/>
    <n v="0"/>
    <n v="73"/>
    <n v="0.03"/>
    <x v="33"/>
  </r>
  <r>
    <x v="6"/>
    <x v="318"/>
    <x v="68"/>
    <n v="157"/>
    <n v="5"/>
    <n v="162"/>
    <n v="0.06"/>
    <x v="33"/>
  </r>
  <r>
    <x v="7"/>
    <x v="319"/>
    <x v="62"/>
    <n v="88"/>
    <n v="0"/>
    <n v="88"/>
    <n v="0.03"/>
    <x v="33"/>
  </r>
  <r>
    <x v="8"/>
    <x v="320"/>
    <x v="11"/>
    <n v="121"/>
    <n v="0"/>
    <n v="121"/>
    <n v="0.04"/>
    <x v="33"/>
  </r>
  <r>
    <x v="9"/>
    <x v="321"/>
    <x v="59"/>
    <n v="156"/>
    <n v="1"/>
    <n v="157"/>
    <n v="0.06"/>
    <x v="33"/>
  </r>
  <r>
    <x v="10"/>
    <x v="322"/>
    <x v="5"/>
    <n v="498"/>
    <n v="3"/>
    <n v="501"/>
    <n v="0.18"/>
    <x v="33"/>
  </r>
  <r>
    <x v="11"/>
    <x v="323"/>
    <x v="5"/>
    <n v="569"/>
    <n v="0"/>
    <n v="569"/>
    <n v="0.2"/>
    <x v="33"/>
  </r>
  <r>
    <x v="12"/>
    <x v="324"/>
    <x v="5"/>
    <n v="174"/>
    <n v="0"/>
    <n v="174"/>
    <n v="0.06"/>
    <x v="33"/>
  </r>
  <r>
    <x v="13"/>
    <x v="7"/>
    <x v="6"/>
    <n v="1994"/>
    <n v="24"/>
    <n v="2018"/>
    <n v="0.72"/>
    <x v="33"/>
  </r>
  <r>
    <x v="0"/>
    <x v="26"/>
    <x v="2"/>
    <n v="72024"/>
    <n v="675"/>
    <n v="72699"/>
    <n v="40.31"/>
    <x v="34"/>
  </r>
  <r>
    <x v="1"/>
    <x v="325"/>
    <x v="1"/>
    <n v="100058"/>
    <n v="1650"/>
    <n v="101708"/>
    <n v="56.4"/>
    <x v="34"/>
  </r>
  <r>
    <x v="2"/>
    <x v="326"/>
    <x v="7"/>
    <n v="873"/>
    <n v="30"/>
    <n v="903"/>
    <n v="0.5"/>
    <x v="34"/>
  </r>
  <r>
    <x v="3"/>
    <x v="327"/>
    <x v="0"/>
    <n v="2839"/>
    <n v="63"/>
    <n v="2902"/>
    <n v="1.61"/>
    <x v="34"/>
  </r>
  <r>
    <x v="4"/>
    <x v="328"/>
    <x v="69"/>
    <n v="210"/>
    <n v="4"/>
    <n v="214"/>
    <n v="0.12"/>
    <x v="34"/>
  </r>
  <r>
    <x v="5"/>
    <x v="329"/>
    <x v="22"/>
    <n v="88"/>
    <n v="5"/>
    <n v="93"/>
    <n v="0.05"/>
    <x v="34"/>
  </r>
  <r>
    <x v="6"/>
    <x v="210"/>
    <x v="11"/>
    <n v="70"/>
    <n v="1"/>
    <n v="71"/>
    <n v="0.04"/>
    <x v="34"/>
  </r>
  <r>
    <x v="7"/>
    <x v="330"/>
    <x v="5"/>
    <n v="173"/>
    <n v="0"/>
    <n v="173"/>
    <n v="0.1"/>
    <x v="34"/>
  </r>
  <r>
    <x v="8"/>
    <x v="331"/>
    <x v="5"/>
    <n v="222"/>
    <n v="3"/>
    <n v="225"/>
    <n v="0.12"/>
    <x v="34"/>
  </r>
  <r>
    <x v="9"/>
    <x v="7"/>
    <x v="6"/>
    <n v="1317"/>
    <n v="29"/>
    <n v="1346"/>
    <n v="0.75"/>
    <x v="34"/>
  </r>
  <r>
    <x v="0"/>
    <x v="332"/>
    <x v="7"/>
    <n v="698"/>
    <n v="4"/>
    <n v="702"/>
    <n v="0.54"/>
    <x v="35"/>
  </r>
  <r>
    <x v="1"/>
    <x v="333"/>
    <x v="1"/>
    <n v="64587"/>
    <n v="364"/>
    <n v="64951"/>
    <n v="49.77"/>
    <x v="35"/>
  </r>
  <r>
    <x v="2"/>
    <x v="334"/>
    <x v="0"/>
    <n v="9334"/>
    <n v="75"/>
    <n v="9409"/>
    <n v="7.21"/>
    <x v="35"/>
  </r>
  <r>
    <x v="3"/>
    <x v="335"/>
    <x v="2"/>
    <n v="53462"/>
    <n v="213"/>
    <n v="53675"/>
    <n v="41.13"/>
    <x v="35"/>
  </r>
  <r>
    <x v="4"/>
    <x v="336"/>
    <x v="19"/>
    <n v="96"/>
    <n v="0"/>
    <n v="96"/>
    <n v="7.0000000000000007E-2"/>
    <x v="35"/>
  </r>
  <r>
    <x v="5"/>
    <x v="337"/>
    <x v="54"/>
    <n v="91"/>
    <n v="0"/>
    <n v="91"/>
    <n v="7.0000000000000007E-2"/>
    <x v="35"/>
  </r>
  <r>
    <x v="6"/>
    <x v="322"/>
    <x v="70"/>
    <n v="153"/>
    <n v="0"/>
    <n v="153"/>
    <n v="0.12"/>
    <x v="35"/>
  </r>
  <r>
    <x v="7"/>
    <x v="338"/>
    <x v="71"/>
    <n v="48"/>
    <n v="0"/>
    <n v="48"/>
    <n v="0.04"/>
    <x v="35"/>
  </r>
  <r>
    <x v="8"/>
    <x v="339"/>
    <x v="5"/>
    <n v="113"/>
    <n v="0"/>
    <n v="113"/>
    <n v="0.09"/>
    <x v="35"/>
  </r>
  <r>
    <x v="9"/>
    <x v="340"/>
    <x v="5"/>
    <n v="192"/>
    <n v="1"/>
    <n v="193"/>
    <n v="0.15"/>
    <x v="35"/>
  </r>
  <r>
    <x v="10"/>
    <x v="341"/>
    <x v="5"/>
    <n v="225"/>
    <n v="0"/>
    <n v="225"/>
    <n v="0.17"/>
    <x v="35"/>
  </r>
  <r>
    <x v="11"/>
    <x v="342"/>
    <x v="5"/>
    <n v="91"/>
    <n v="1"/>
    <n v="92"/>
    <n v="7.0000000000000007E-2"/>
    <x v="35"/>
  </r>
  <r>
    <x v="12"/>
    <x v="7"/>
    <x v="6"/>
    <n v="755"/>
    <n v="1"/>
    <n v="756"/>
    <n v="0.57999999999999996"/>
    <x v="35"/>
  </r>
  <r>
    <x v="0"/>
    <x v="343"/>
    <x v="1"/>
    <n v="81589"/>
    <n v="457"/>
    <n v="82046"/>
    <n v="50.45"/>
    <x v="36"/>
  </r>
  <r>
    <x v="1"/>
    <x v="344"/>
    <x v="7"/>
    <n v="805"/>
    <n v="5"/>
    <n v="810"/>
    <n v="0.5"/>
    <x v="36"/>
  </r>
  <r>
    <x v="2"/>
    <x v="345"/>
    <x v="2"/>
    <n v="72844"/>
    <n v="250"/>
    <n v="73094"/>
    <n v="44.95"/>
    <x v="36"/>
  </r>
  <r>
    <x v="3"/>
    <x v="346"/>
    <x v="0"/>
    <n v="4655"/>
    <n v="42"/>
    <n v="4697"/>
    <n v="2.89"/>
    <x v="36"/>
  </r>
  <r>
    <x v="4"/>
    <x v="347"/>
    <x v="28"/>
    <n v="325"/>
    <n v="1"/>
    <n v="326"/>
    <n v="0.2"/>
    <x v="36"/>
  </r>
  <r>
    <x v="5"/>
    <x v="348"/>
    <x v="22"/>
    <n v="220"/>
    <n v="1"/>
    <n v="221"/>
    <n v="0.14000000000000001"/>
    <x v="36"/>
  </r>
  <r>
    <x v="6"/>
    <x v="349"/>
    <x v="5"/>
    <n v="301"/>
    <n v="1"/>
    <n v="302"/>
    <n v="0.19"/>
    <x v="36"/>
  </r>
  <r>
    <x v="7"/>
    <x v="7"/>
    <x v="6"/>
    <n v="1109"/>
    <n v="10"/>
    <n v="1119"/>
    <n v="0.69"/>
    <x v="36"/>
  </r>
  <r>
    <x v="0"/>
    <x v="350"/>
    <x v="7"/>
    <n v="232"/>
    <n v="0"/>
    <n v="232"/>
    <n v="0.49"/>
    <x v="37"/>
  </r>
  <r>
    <x v="1"/>
    <x v="351"/>
    <x v="0"/>
    <n v="4230"/>
    <n v="22"/>
    <n v="4252"/>
    <n v="8.9600000000000009"/>
    <x v="37"/>
  </r>
  <r>
    <x v="2"/>
    <x v="352"/>
    <x v="1"/>
    <n v="20073"/>
    <n v="89"/>
    <n v="20162"/>
    <n v="42.48"/>
    <x v="37"/>
  </r>
  <r>
    <x v="3"/>
    <x v="353"/>
    <x v="2"/>
    <n v="22140"/>
    <n v="51"/>
    <n v="22191"/>
    <n v="46.76"/>
    <x v="37"/>
  </r>
  <r>
    <x v="4"/>
    <x v="354"/>
    <x v="29"/>
    <n v="70"/>
    <n v="0"/>
    <n v="70"/>
    <n v="0.15"/>
    <x v="37"/>
  </r>
  <r>
    <x v="5"/>
    <x v="73"/>
    <x v="22"/>
    <n v="72"/>
    <n v="0"/>
    <n v="72"/>
    <n v="0.15"/>
    <x v="37"/>
  </r>
  <r>
    <x v="6"/>
    <x v="355"/>
    <x v="5"/>
    <n v="149"/>
    <n v="0"/>
    <n v="149"/>
    <n v="0.31"/>
    <x v="37"/>
  </r>
  <r>
    <x v="7"/>
    <x v="7"/>
    <x v="6"/>
    <n v="327"/>
    <n v="3"/>
    <n v="330"/>
    <n v="0.7"/>
    <x v="37"/>
  </r>
  <r>
    <x v="0"/>
    <x v="356"/>
    <x v="1"/>
    <n v="46391"/>
    <n v="280"/>
    <n v="46671"/>
    <n v="48.01"/>
    <x v="38"/>
  </r>
  <r>
    <x v="1"/>
    <x v="357"/>
    <x v="2"/>
    <n v="45290"/>
    <n v="150"/>
    <n v="45440"/>
    <n v="46.74"/>
    <x v="38"/>
  </r>
  <r>
    <x v="2"/>
    <x v="358"/>
    <x v="0"/>
    <n v="3995"/>
    <n v="20"/>
    <n v="4015"/>
    <n v="4.13"/>
    <x v="38"/>
  </r>
  <r>
    <x v="3"/>
    <x v="359"/>
    <x v="7"/>
    <n v="147"/>
    <n v="3"/>
    <n v="150"/>
    <n v="0.15"/>
    <x v="38"/>
  </r>
  <r>
    <x v="4"/>
    <x v="360"/>
    <x v="20"/>
    <n v="65"/>
    <n v="0"/>
    <n v="65"/>
    <n v="7.0000000000000007E-2"/>
    <x v="38"/>
  </r>
  <r>
    <x v="5"/>
    <x v="361"/>
    <x v="4"/>
    <n v="155"/>
    <n v="0"/>
    <n v="155"/>
    <n v="0.16"/>
    <x v="38"/>
  </r>
  <r>
    <x v="6"/>
    <x v="362"/>
    <x v="5"/>
    <n v="143"/>
    <n v="1"/>
    <n v="144"/>
    <n v="0.15"/>
    <x v="38"/>
  </r>
  <r>
    <x v="7"/>
    <x v="7"/>
    <x v="6"/>
    <n v="565"/>
    <n v="6"/>
    <n v="571"/>
    <n v="0.59"/>
    <x v="38"/>
  </r>
  <r>
    <x v="0"/>
    <x v="363"/>
    <x v="2"/>
    <n v="25865"/>
    <n v="134"/>
    <n v="25999"/>
    <n v="42.18"/>
    <x v="39"/>
  </r>
  <r>
    <x v="1"/>
    <x v="364"/>
    <x v="1"/>
    <n v="29878"/>
    <n v="210"/>
    <n v="30088"/>
    <n v="48.82"/>
    <x v="39"/>
  </r>
  <r>
    <x v="2"/>
    <x v="365"/>
    <x v="7"/>
    <n v="142"/>
    <n v="0"/>
    <n v="142"/>
    <n v="0.23"/>
    <x v="39"/>
  </r>
  <r>
    <x v="3"/>
    <x v="366"/>
    <x v="0"/>
    <n v="4531"/>
    <n v="37"/>
    <n v="4568"/>
    <n v="7.41"/>
    <x v="39"/>
  </r>
  <r>
    <x v="4"/>
    <x v="367"/>
    <x v="72"/>
    <n v="21"/>
    <n v="0"/>
    <n v="21"/>
    <n v="0.03"/>
    <x v="39"/>
  </r>
  <r>
    <x v="5"/>
    <x v="368"/>
    <x v="73"/>
    <n v="4"/>
    <n v="0"/>
    <n v="4"/>
    <n v="0.01"/>
    <x v="39"/>
  </r>
  <r>
    <x v="6"/>
    <x v="369"/>
    <x v="74"/>
    <n v="22"/>
    <n v="0"/>
    <n v="22"/>
    <n v="0.04"/>
    <x v="39"/>
  </r>
  <r>
    <x v="7"/>
    <x v="370"/>
    <x v="75"/>
    <n v="39"/>
    <n v="0"/>
    <n v="39"/>
    <n v="0.06"/>
    <x v="39"/>
  </r>
  <r>
    <x v="8"/>
    <x v="371"/>
    <x v="18"/>
    <n v="37"/>
    <n v="0"/>
    <n v="37"/>
    <n v="0.06"/>
    <x v="39"/>
  </r>
  <r>
    <x v="9"/>
    <x v="372"/>
    <x v="38"/>
    <n v="8"/>
    <n v="0"/>
    <n v="8"/>
    <n v="0.01"/>
    <x v="39"/>
  </r>
  <r>
    <x v="10"/>
    <x v="162"/>
    <x v="25"/>
    <n v="8"/>
    <n v="0"/>
    <n v="8"/>
    <n v="0.01"/>
    <x v="39"/>
  </r>
  <r>
    <x v="11"/>
    <x v="373"/>
    <x v="48"/>
    <n v="75"/>
    <n v="1"/>
    <n v="76"/>
    <n v="0.12"/>
    <x v="39"/>
  </r>
  <r>
    <x v="12"/>
    <x v="374"/>
    <x v="76"/>
    <n v="14"/>
    <n v="1"/>
    <n v="15"/>
    <n v="0.02"/>
    <x v="39"/>
  </r>
  <r>
    <x v="13"/>
    <x v="375"/>
    <x v="10"/>
    <n v="8"/>
    <n v="0"/>
    <n v="8"/>
    <n v="0.01"/>
    <x v="39"/>
  </r>
  <r>
    <x v="14"/>
    <x v="376"/>
    <x v="11"/>
    <n v="30"/>
    <n v="0"/>
    <n v="30"/>
    <n v="0.05"/>
    <x v="39"/>
  </r>
  <r>
    <x v="15"/>
    <x v="377"/>
    <x v="49"/>
    <n v="53"/>
    <n v="0"/>
    <n v="53"/>
    <n v="0.09"/>
    <x v="39"/>
  </r>
  <r>
    <x v="16"/>
    <x v="378"/>
    <x v="5"/>
    <n v="55"/>
    <n v="0"/>
    <n v="55"/>
    <n v="0.09"/>
    <x v="39"/>
  </r>
  <r>
    <x v="17"/>
    <x v="379"/>
    <x v="5"/>
    <n v="72"/>
    <n v="0"/>
    <n v="72"/>
    <n v="0.12"/>
    <x v="39"/>
  </r>
  <r>
    <x v="18"/>
    <x v="380"/>
    <x v="5"/>
    <n v="31"/>
    <n v="0"/>
    <n v="31"/>
    <n v="0.05"/>
    <x v="39"/>
  </r>
  <r>
    <x v="19"/>
    <x v="381"/>
    <x v="5"/>
    <n v="9"/>
    <n v="0"/>
    <n v="9"/>
    <n v="0.01"/>
    <x v="39"/>
  </r>
  <r>
    <x v="20"/>
    <x v="382"/>
    <x v="5"/>
    <n v="11"/>
    <n v="0"/>
    <n v="11"/>
    <n v="0.02"/>
    <x v="39"/>
  </r>
  <r>
    <x v="21"/>
    <x v="383"/>
    <x v="5"/>
    <n v="16"/>
    <n v="1"/>
    <n v="17"/>
    <n v="0.03"/>
    <x v="39"/>
  </r>
  <r>
    <x v="22"/>
    <x v="384"/>
    <x v="5"/>
    <n v="9"/>
    <n v="0"/>
    <n v="9"/>
    <n v="0.01"/>
    <x v="39"/>
  </r>
  <r>
    <x v="23"/>
    <x v="7"/>
    <x v="6"/>
    <n v="306"/>
    <n v="8"/>
    <n v="314"/>
    <n v="0.51"/>
    <x v="39"/>
  </r>
  <r>
    <x v="0"/>
    <x v="385"/>
    <x v="1"/>
    <n v="38675"/>
    <n v="184"/>
    <n v="38859"/>
    <n v="45.44"/>
    <x v="40"/>
  </r>
  <r>
    <x v="1"/>
    <x v="386"/>
    <x v="0"/>
    <n v="7324"/>
    <n v="26"/>
    <n v="7350"/>
    <n v="8.6"/>
    <x v="40"/>
  </r>
  <r>
    <x v="2"/>
    <x v="387"/>
    <x v="2"/>
    <n v="38081"/>
    <n v="103"/>
    <n v="38184"/>
    <n v="44.65"/>
    <x v="40"/>
  </r>
  <r>
    <x v="3"/>
    <x v="388"/>
    <x v="7"/>
    <n v="154"/>
    <n v="1"/>
    <n v="155"/>
    <n v="0.18"/>
    <x v="40"/>
  </r>
  <r>
    <x v="4"/>
    <x v="389"/>
    <x v="77"/>
    <n v="74"/>
    <n v="0"/>
    <n v="74"/>
    <n v="0.09"/>
    <x v="40"/>
  </r>
  <r>
    <x v="5"/>
    <x v="390"/>
    <x v="76"/>
    <n v="119"/>
    <n v="0"/>
    <n v="119"/>
    <n v="0.14000000000000001"/>
    <x v="40"/>
  </r>
  <r>
    <x v="6"/>
    <x v="391"/>
    <x v="78"/>
    <n v="78"/>
    <n v="0"/>
    <n v="78"/>
    <n v="0.09"/>
    <x v="40"/>
  </r>
  <r>
    <x v="7"/>
    <x v="392"/>
    <x v="5"/>
    <n v="170"/>
    <n v="1"/>
    <n v="171"/>
    <n v="0.2"/>
    <x v="40"/>
  </r>
  <r>
    <x v="8"/>
    <x v="393"/>
    <x v="5"/>
    <n v="80"/>
    <n v="0"/>
    <n v="80"/>
    <n v="0.09"/>
    <x v="40"/>
  </r>
  <r>
    <x v="9"/>
    <x v="7"/>
    <x v="6"/>
    <n v="438"/>
    <n v="3"/>
    <n v="441"/>
    <n v="0.52"/>
    <x v="40"/>
  </r>
  <r>
    <x v="0"/>
    <x v="394"/>
    <x v="0"/>
    <n v="26918"/>
    <n v="101"/>
    <n v="27019"/>
    <n v="31.98"/>
    <x v="41"/>
  </r>
  <r>
    <x v="1"/>
    <x v="395"/>
    <x v="1"/>
    <n v="37896"/>
    <n v="171"/>
    <n v="38067"/>
    <n v="45.06"/>
    <x v="41"/>
  </r>
  <r>
    <x v="2"/>
    <x v="396"/>
    <x v="7"/>
    <n v="149"/>
    <n v="1"/>
    <n v="150"/>
    <n v="0.18"/>
    <x v="41"/>
  </r>
  <r>
    <x v="3"/>
    <x v="397"/>
    <x v="2"/>
    <n v="18558"/>
    <n v="59"/>
    <n v="18617"/>
    <n v="22.04"/>
    <x v="41"/>
  </r>
  <r>
    <x v="4"/>
    <x v="398"/>
    <x v="5"/>
    <n v="157"/>
    <n v="1"/>
    <n v="158"/>
    <n v="0.19"/>
    <x v="41"/>
  </r>
  <r>
    <x v="5"/>
    <x v="7"/>
    <x v="6"/>
    <n v="470"/>
    <n v="2"/>
    <n v="472"/>
    <n v="0.56000000000000005"/>
    <x v="41"/>
  </r>
  <r>
    <x v="0"/>
    <x v="399"/>
    <x v="7"/>
    <n v="237"/>
    <n v="1"/>
    <n v="238"/>
    <n v="0.28000000000000003"/>
    <x v="42"/>
  </r>
  <r>
    <x v="1"/>
    <x v="400"/>
    <x v="0"/>
    <n v="6734"/>
    <n v="36"/>
    <n v="6770"/>
    <n v="7.96"/>
    <x v="42"/>
  </r>
  <r>
    <x v="2"/>
    <x v="401"/>
    <x v="1"/>
    <n v="39216"/>
    <n v="348"/>
    <n v="39564"/>
    <n v="46.53"/>
    <x v="42"/>
  </r>
  <r>
    <x v="3"/>
    <x v="402"/>
    <x v="2"/>
    <n v="37280"/>
    <n v="153"/>
    <n v="37433"/>
    <n v="44.02"/>
    <x v="42"/>
  </r>
  <r>
    <x v="4"/>
    <x v="403"/>
    <x v="79"/>
    <n v="144"/>
    <n v="0"/>
    <n v="144"/>
    <n v="0.17"/>
    <x v="42"/>
  </r>
  <r>
    <x v="5"/>
    <x v="404"/>
    <x v="31"/>
    <n v="162"/>
    <n v="0"/>
    <n v="162"/>
    <n v="0.19"/>
    <x v="42"/>
  </r>
  <r>
    <x v="6"/>
    <x v="405"/>
    <x v="5"/>
    <n v="192"/>
    <n v="0"/>
    <n v="192"/>
    <n v="0.23"/>
    <x v="42"/>
  </r>
  <r>
    <x v="7"/>
    <x v="7"/>
    <x v="6"/>
    <n v="526"/>
    <n v="6"/>
    <n v="532"/>
    <n v="0.63"/>
    <x v="42"/>
  </r>
  <r>
    <x v="0"/>
    <x v="406"/>
    <x v="1"/>
    <n v="42965"/>
    <n v="295"/>
    <n v="43260"/>
    <n v="56.55"/>
    <x v="43"/>
  </r>
  <r>
    <x v="1"/>
    <x v="407"/>
    <x v="2"/>
    <n v="28652"/>
    <n v="155"/>
    <n v="28807"/>
    <n v="37.65"/>
    <x v="43"/>
  </r>
  <r>
    <x v="2"/>
    <x v="408"/>
    <x v="0"/>
    <n v="3048"/>
    <n v="31"/>
    <n v="3079"/>
    <n v="4.0199999999999996"/>
    <x v="43"/>
  </r>
  <r>
    <x v="3"/>
    <x v="409"/>
    <x v="7"/>
    <n v="202"/>
    <n v="0"/>
    <n v="202"/>
    <n v="0.26"/>
    <x v="43"/>
  </r>
  <r>
    <x v="4"/>
    <x v="410"/>
    <x v="80"/>
    <n v="25"/>
    <n v="0"/>
    <n v="25"/>
    <n v="0.03"/>
    <x v="43"/>
  </r>
  <r>
    <x v="5"/>
    <x v="411"/>
    <x v="31"/>
    <n v="99"/>
    <n v="0"/>
    <n v="99"/>
    <n v="0.13"/>
    <x v="43"/>
  </r>
  <r>
    <x v="6"/>
    <x v="412"/>
    <x v="62"/>
    <n v="76"/>
    <n v="0"/>
    <n v="76"/>
    <n v="0.1"/>
    <x v="43"/>
  </r>
  <r>
    <x v="7"/>
    <x v="145"/>
    <x v="22"/>
    <n v="52"/>
    <n v="0"/>
    <n v="52"/>
    <n v="7.0000000000000007E-2"/>
    <x v="43"/>
  </r>
  <r>
    <x v="8"/>
    <x v="413"/>
    <x v="38"/>
    <n v="35"/>
    <n v="0"/>
    <n v="35"/>
    <n v="0.05"/>
    <x v="43"/>
  </r>
  <r>
    <x v="9"/>
    <x v="414"/>
    <x v="5"/>
    <n v="55"/>
    <n v="0"/>
    <n v="55"/>
    <n v="7.0000000000000007E-2"/>
    <x v="43"/>
  </r>
  <r>
    <x v="10"/>
    <x v="415"/>
    <x v="5"/>
    <n v="87"/>
    <n v="1"/>
    <n v="88"/>
    <n v="0.12"/>
    <x v="43"/>
  </r>
  <r>
    <x v="11"/>
    <x v="416"/>
    <x v="5"/>
    <n v="100"/>
    <n v="0"/>
    <n v="100"/>
    <n v="0.13"/>
    <x v="43"/>
  </r>
  <r>
    <x v="12"/>
    <x v="417"/>
    <x v="5"/>
    <n v="76"/>
    <n v="0"/>
    <n v="76"/>
    <n v="0.1"/>
    <x v="43"/>
  </r>
  <r>
    <x v="13"/>
    <x v="7"/>
    <x v="6"/>
    <n v="545"/>
    <n v="4"/>
    <n v="549"/>
    <n v="0.72"/>
    <x v="43"/>
  </r>
  <r>
    <x v="0"/>
    <x v="418"/>
    <x v="1"/>
    <n v="48022"/>
    <n v="327"/>
    <n v="48349"/>
    <n v="41.67"/>
    <x v="44"/>
  </r>
  <r>
    <x v="1"/>
    <x v="419"/>
    <x v="0"/>
    <n v="9250"/>
    <n v="88"/>
    <n v="9338"/>
    <n v="8.0500000000000007"/>
    <x v="44"/>
  </r>
  <r>
    <x v="2"/>
    <x v="420"/>
    <x v="2"/>
    <n v="46426"/>
    <n v="141"/>
    <n v="46567"/>
    <n v="40.130000000000003"/>
    <x v="44"/>
  </r>
  <r>
    <x v="3"/>
    <x v="421"/>
    <x v="7"/>
    <n v="771"/>
    <n v="7"/>
    <n v="778"/>
    <n v="0.67"/>
    <x v="44"/>
  </r>
  <r>
    <x v="4"/>
    <x v="422"/>
    <x v="81"/>
    <n v="181"/>
    <n v="0"/>
    <n v="181"/>
    <n v="0.16"/>
    <x v="44"/>
  </r>
  <r>
    <x v="5"/>
    <x v="423"/>
    <x v="22"/>
    <n v="104"/>
    <n v="0"/>
    <n v="104"/>
    <n v="0.09"/>
    <x v="44"/>
  </r>
  <r>
    <x v="6"/>
    <x v="424"/>
    <x v="11"/>
    <n v="140"/>
    <n v="0"/>
    <n v="140"/>
    <n v="0.12"/>
    <x v="44"/>
  </r>
  <r>
    <x v="7"/>
    <x v="425"/>
    <x v="5"/>
    <n v="9685"/>
    <n v="46"/>
    <n v="9731"/>
    <n v="8.39"/>
    <x v="44"/>
  </r>
  <r>
    <x v="8"/>
    <x v="7"/>
    <x v="6"/>
    <n v="840"/>
    <n v="6"/>
    <n v="846"/>
    <n v="0.73"/>
    <x v="44"/>
  </r>
  <r>
    <x v="0"/>
    <x v="426"/>
    <x v="1"/>
    <n v="80128"/>
    <n v="341"/>
    <n v="80469"/>
    <n v="48.98"/>
    <x v="45"/>
  </r>
  <r>
    <x v="1"/>
    <x v="427"/>
    <x v="7"/>
    <n v="739"/>
    <n v="11"/>
    <n v="750"/>
    <n v="0.46"/>
    <x v="45"/>
  </r>
  <r>
    <x v="2"/>
    <x v="428"/>
    <x v="2"/>
    <n v="74029"/>
    <n v="201"/>
    <n v="74230"/>
    <n v="45.18"/>
    <x v="45"/>
  </r>
  <r>
    <x v="3"/>
    <x v="429"/>
    <x v="0"/>
    <n v="6550"/>
    <n v="51"/>
    <n v="6601"/>
    <n v="4.0199999999999996"/>
    <x v="45"/>
  </r>
  <r>
    <x v="4"/>
    <x v="430"/>
    <x v="4"/>
    <n v="180"/>
    <n v="1"/>
    <n v="181"/>
    <n v="0.11"/>
    <x v="45"/>
  </r>
  <r>
    <x v="5"/>
    <x v="431"/>
    <x v="19"/>
    <n v="77"/>
    <n v="0"/>
    <n v="77"/>
    <n v="0.05"/>
    <x v="45"/>
  </r>
  <r>
    <x v="6"/>
    <x v="432"/>
    <x v="18"/>
    <n v="293"/>
    <n v="0"/>
    <n v="293"/>
    <n v="0.18"/>
    <x v="45"/>
  </r>
  <r>
    <x v="7"/>
    <x v="433"/>
    <x v="14"/>
    <n v="173"/>
    <n v="0"/>
    <n v="173"/>
    <n v="0.11"/>
    <x v="45"/>
  </r>
  <r>
    <x v="8"/>
    <x v="434"/>
    <x v="5"/>
    <n v="164"/>
    <n v="3"/>
    <n v="167"/>
    <n v="0.1"/>
    <x v="45"/>
  </r>
  <r>
    <x v="9"/>
    <x v="435"/>
    <x v="5"/>
    <n v="268"/>
    <n v="1"/>
    <n v="269"/>
    <n v="0.16"/>
    <x v="45"/>
  </r>
  <r>
    <x v="10"/>
    <x v="436"/>
    <x v="5"/>
    <n v="220"/>
    <n v="1"/>
    <n v="221"/>
    <n v="0.13"/>
    <x v="45"/>
  </r>
  <r>
    <x v="11"/>
    <x v="7"/>
    <x v="6"/>
    <n v="862"/>
    <n v="6"/>
    <n v="868"/>
    <n v="0.53"/>
    <x v="45"/>
  </r>
  <r>
    <x v="0"/>
    <x v="437"/>
    <x v="7"/>
    <n v="2569"/>
    <n v="12"/>
    <n v="2581"/>
    <n v="1.64"/>
    <x v="46"/>
  </r>
  <r>
    <x v="1"/>
    <x v="438"/>
    <x v="2"/>
    <n v="86774"/>
    <n v="115"/>
    <n v="86889"/>
    <n v="55.09"/>
    <x v="46"/>
  </r>
  <r>
    <x v="2"/>
    <x v="439"/>
    <x v="0"/>
    <n v="12147"/>
    <n v="64"/>
    <n v="12211"/>
    <n v="7.74"/>
    <x v="46"/>
  </r>
  <r>
    <x v="3"/>
    <x v="440"/>
    <x v="82"/>
    <n v="50124"/>
    <n v="85"/>
    <n v="50209"/>
    <n v="31.83"/>
    <x v="46"/>
  </r>
  <r>
    <x v="4"/>
    <x v="441"/>
    <x v="64"/>
    <n v="536"/>
    <n v="2"/>
    <n v="538"/>
    <n v="0.34"/>
    <x v="46"/>
  </r>
  <r>
    <x v="5"/>
    <x v="442"/>
    <x v="81"/>
    <n v="943"/>
    <n v="4"/>
    <n v="947"/>
    <n v="0.6"/>
    <x v="46"/>
  </r>
  <r>
    <x v="6"/>
    <x v="443"/>
    <x v="77"/>
    <n v="2225"/>
    <n v="4"/>
    <n v="2229"/>
    <n v="1.41"/>
    <x v="46"/>
  </r>
  <r>
    <x v="7"/>
    <x v="7"/>
    <x v="6"/>
    <n v="2116"/>
    <n v="14"/>
    <n v="2130"/>
    <n v="1.35"/>
    <x v="46"/>
  </r>
  <r>
    <x v="0"/>
    <x v="444"/>
    <x v="2"/>
    <n v="46122"/>
    <n v="163"/>
    <n v="46285"/>
    <n v="47.62"/>
    <x v="47"/>
  </r>
  <r>
    <x v="1"/>
    <x v="445"/>
    <x v="1"/>
    <n v="41877"/>
    <n v="178"/>
    <n v="42055"/>
    <n v="43.27"/>
    <x v="47"/>
  </r>
  <r>
    <x v="2"/>
    <x v="446"/>
    <x v="0"/>
    <n v="7129"/>
    <n v="43"/>
    <n v="7172"/>
    <n v="7.38"/>
    <x v="47"/>
  </r>
  <r>
    <x v="3"/>
    <x v="447"/>
    <x v="7"/>
    <n v="390"/>
    <n v="7"/>
    <n v="397"/>
    <n v="0.41"/>
    <x v="47"/>
  </r>
  <r>
    <x v="4"/>
    <x v="448"/>
    <x v="76"/>
    <n v="302"/>
    <n v="0"/>
    <n v="302"/>
    <n v="0.31"/>
    <x v="47"/>
  </r>
  <r>
    <x v="5"/>
    <x v="449"/>
    <x v="11"/>
    <n v="32"/>
    <n v="0"/>
    <n v="32"/>
    <n v="0.03"/>
    <x v="47"/>
  </r>
  <r>
    <x v="6"/>
    <x v="450"/>
    <x v="4"/>
    <n v="255"/>
    <n v="6"/>
    <n v="261"/>
    <n v="0.27"/>
    <x v="47"/>
  </r>
  <r>
    <x v="7"/>
    <x v="451"/>
    <x v="77"/>
    <n v="85"/>
    <n v="0"/>
    <n v="85"/>
    <n v="0.09"/>
    <x v="47"/>
  </r>
  <r>
    <x v="8"/>
    <x v="218"/>
    <x v="5"/>
    <n v="101"/>
    <n v="1"/>
    <n v="102"/>
    <n v="0.1"/>
    <x v="47"/>
  </r>
  <r>
    <x v="9"/>
    <x v="7"/>
    <x v="6"/>
    <n v="497"/>
    <n v="1"/>
    <n v="498"/>
    <n v="0.51"/>
    <x v="47"/>
  </r>
  <r>
    <x v="0"/>
    <x v="452"/>
    <x v="1"/>
    <n v="53980"/>
    <n v="69"/>
    <n v="54049"/>
    <n v="42.99"/>
    <x v="48"/>
  </r>
  <r>
    <x v="1"/>
    <x v="453"/>
    <x v="7"/>
    <n v="795"/>
    <n v="1"/>
    <n v="796"/>
    <n v="0.63"/>
    <x v="48"/>
  </r>
  <r>
    <x v="2"/>
    <x v="454"/>
    <x v="2"/>
    <n v="53658"/>
    <n v="47"/>
    <n v="53705"/>
    <n v="42.72"/>
    <x v="48"/>
  </r>
  <r>
    <x v="3"/>
    <x v="455"/>
    <x v="0"/>
    <n v="15840"/>
    <n v="23"/>
    <n v="15863"/>
    <n v="12.62"/>
    <x v="48"/>
  </r>
  <r>
    <x v="4"/>
    <x v="456"/>
    <x v="14"/>
    <n v="78"/>
    <n v="0"/>
    <n v="78"/>
    <n v="0.06"/>
    <x v="48"/>
  </r>
  <r>
    <x v="5"/>
    <x v="457"/>
    <x v="19"/>
    <n v="68"/>
    <n v="0"/>
    <n v="68"/>
    <n v="0.05"/>
    <x v="48"/>
  </r>
  <r>
    <x v="6"/>
    <x v="458"/>
    <x v="4"/>
    <n v="83"/>
    <n v="0"/>
    <n v="83"/>
    <n v="7.0000000000000007E-2"/>
    <x v="48"/>
  </r>
  <r>
    <x v="7"/>
    <x v="459"/>
    <x v="81"/>
    <n v="143"/>
    <n v="0"/>
    <n v="143"/>
    <n v="0.11"/>
    <x v="48"/>
  </r>
  <r>
    <x v="8"/>
    <x v="460"/>
    <x v="5"/>
    <n v="195"/>
    <n v="0"/>
    <n v="195"/>
    <n v="0.16"/>
    <x v="48"/>
  </r>
  <r>
    <x v="9"/>
    <x v="461"/>
    <x v="5"/>
    <n v="136"/>
    <n v="0"/>
    <n v="136"/>
    <n v="0.11"/>
    <x v="48"/>
  </r>
  <r>
    <x v="10"/>
    <x v="462"/>
    <x v="5"/>
    <n v="61"/>
    <n v="0"/>
    <n v="61"/>
    <n v="0.05"/>
    <x v="48"/>
  </r>
  <r>
    <x v="11"/>
    <x v="7"/>
    <x v="6"/>
    <n v="534"/>
    <n v="3"/>
    <n v="537"/>
    <n v="0.43"/>
    <x v="48"/>
  </r>
  <r>
    <x v="0"/>
    <x v="463"/>
    <x v="0"/>
    <n v="6677"/>
    <n v="34"/>
    <n v="6711"/>
    <n v="6.46"/>
    <x v="49"/>
  </r>
  <r>
    <x v="1"/>
    <x v="464"/>
    <x v="7"/>
    <n v="235"/>
    <n v="0"/>
    <n v="235"/>
    <n v="0.23"/>
    <x v="49"/>
  </r>
  <r>
    <x v="2"/>
    <x v="465"/>
    <x v="1"/>
    <n v="49370"/>
    <n v="224"/>
    <n v="49594"/>
    <n v="47.74"/>
    <x v="49"/>
  </r>
  <r>
    <x v="3"/>
    <x v="466"/>
    <x v="2"/>
    <n v="46231"/>
    <n v="175"/>
    <n v="46406"/>
    <n v="44.67"/>
    <x v="49"/>
  </r>
  <r>
    <x v="4"/>
    <x v="467"/>
    <x v="72"/>
    <n v="96"/>
    <n v="0"/>
    <n v="96"/>
    <n v="0.09"/>
    <x v="49"/>
  </r>
  <r>
    <x v="5"/>
    <x v="468"/>
    <x v="77"/>
    <n v="171"/>
    <n v="0"/>
    <n v="171"/>
    <n v="0.16"/>
    <x v="49"/>
  </r>
  <r>
    <x v="6"/>
    <x v="7"/>
    <x v="6"/>
    <n v="666"/>
    <n v="5"/>
    <n v="671"/>
    <n v="0.65"/>
    <x v="49"/>
  </r>
  <r>
    <x v="0"/>
    <x v="469"/>
    <x v="0"/>
    <n v="4367"/>
    <n v="25"/>
    <n v="4392"/>
    <n v="4.1100000000000003"/>
    <x v="50"/>
  </r>
  <r>
    <x v="1"/>
    <x v="470"/>
    <x v="2"/>
    <n v="52058"/>
    <n v="96"/>
    <n v="52154"/>
    <n v="48.8"/>
    <x v="50"/>
  </r>
  <r>
    <x v="2"/>
    <x v="471"/>
    <x v="7"/>
    <n v="421"/>
    <n v="0"/>
    <n v="421"/>
    <n v="0.39"/>
    <x v="50"/>
  </r>
  <r>
    <x v="3"/>
    <x v="472"/>
    <x v="1"/>
    <n v="48478"/>
    <n v="155"/>
    <n v="48633"/>
    <n v="45.5"/>
    <x v="50"/>
  </r>
  <r>
    <x v="4"/>
    <x v="473"/>
    <x v="77"/>
    <n v="193"/>
    <n v="0"/>
    <n v="193"/>
    <n v="0.18"/>
    <x v="50"/>
  </r>
  <r>
    <x v="5"/>
    <x v="474"/>
    <x v="41"/>
    <n v="173"/>
    <n v="1"/>
    <n v="174"/>
    <n v="0.16"/>
    <x v="50"/>
  </r>
  <r>
    <x v="6"/>
    <x v="475"/>
    <x v="83"/>
    <n v="84"/>
    <n v="1"/>
    <n v="85"/>
    <n v="0.08"/>
    <x v="50"/>
  </r>
  <r>
    <x v="7"/>
    <x v="139"/>
    <x v="84"/>
    <n v="23"/>
    <n v="0"/>
    <n v="23"/>
    <n v="0.02"/>
    <x v="50"/>
  </r>
  <r>
    <x v="8"/>
    <x v="476"/>
    <x v="10"/>
    <n v="28"/>
    <n v="0"/>
    <n v="28"/>
    <n v="0.03"/>
    <x v="50"/>
  </r>
  <r>
    <x v="9"/>
    <x v="477"/>
    <x v="5"/>
    <n v="31"/>
    <n v="0"/>
    <n v="31"/>
    <n v="0.03"/>
    <x v="50"/>
  </r>
  <r>
    <x v="10"/>
    <x v="478"/>
    <x v="5"/>
    <n v="58"/>
    <n v="0"/>
    <n v="58"/>
    <n v="0.05"/>
    <x v="50"/>
  </r>
  <r>
    <x v="11"/>
    <x v="239"/>
    <x v="5"/>
    <n v="39"/>
    <n v="0"/>
    <n v="39"/>
    <n v="0.04"/>
    <x v="50"/>
  </r>
  <r>
    <x v="12"/>
    <x v="479"/>
    <x v="5"/>
    <n v="89"/>
    <n v="0"/>
    <n v="89"/>
    <n v="0.08"/>
    <x v="50"/>
  </r>
  <r>
    <x v="13"/>
    <x v="7"/>
    <x v="6"/>
    <n v="556"/>
    <n v="0"/>
    <n v="556"/>
    <n v="0.52"/>
    <x v="50"/>
  </r>
  <r>
    <x v="0"/>
    <x v="480"/>
    <x v="7"/>
    <n v="1604"/>
    <n v="2"/>
    <n v="1606"/>
    <n v="1.4"/>
    <x v="51"/>
  </r>
  <r>
    <x v="1"/>
    <x v="481"/>
    <x v="1"/>
    <n v="47362"/>
    <n v="82"/>
    <n v="47444"/>
    <n v="41.28"/>
    <x v="51"/>
  </r>
  <r>
    <x v="2"/>
    <x v="482"/>
    <x v="0"/>
    <n v="2303"/>
    <n v="10"/>
    <n v="2313"/>
    <n v="2.0099999999999998"/>
    <x v="51"/>
  </r>
  <r>
    <x v="3"/>
    <x v="483"/>
    <x v="2"/>
    <n v="62073"/>
    <n v="82"/>
    <n v="62155"/>
    <n v="54.08"/>
    <x v="51"/>
  </r>
  <r>
    <x v="4"/>
    <x v="484"/>
    <x v="85"/>
    <n v="133"/>
    <n v="0"/>
    <n v="133"/>
    <n v="0.12"/>
    <x v="51"/>
  </r>
  <r>
    <x v="5"/>
    <x v="485"/>
    <x v="22"/>
    <n v="86"/>
    <n v="0"/>
    <n v="86"/>
    <n v="7.0000000000000007E-2"/>
    <x v="51"/>
  </r>
  <r>
    <x v="6"/>
    <x v="371"/>
    <x v="11"/>
    <n v="199"/>
    <n v="0"/>
    <n v="199"/>
    <n v="0.17"/>
    <x v="51"/>
  </r>
  <r>
    <x v="7"/>
    <x v="486"/>
    <x v="86"/>
    <n v="323"/>
    <n v="0"/>
    <n v="323"/>
    <n v="0.28000000000000003"/>
    <x v="51"/>
  </r>
  <r>
    <x v="8"/>
    <x v="487"/>
    <x v="5"/>
    <n v="143"/>
    <n v="0"/>
    <n v="143"/>
    <n v="0.12"/>
    <x v="51"/>
  </r>
  <r>
    <x v="9"/>
    <x v="7"/>
    <x v="6"/>
    <n v="534"/>
    <n v="2"/>
    <n v="536"/>
    <n v="0.47"/>
    <x v="51"/>
  </r>
  <r>
    <x v="0"/>
    <x v="488"/>
    <x v="0"/>
    <n v="3135"/>
    <n v="10"/>
    <n v="3145"/>
    <n v="1.51"/>
    <x v="52"/>
  </r>
  <r>
    <x v="1"/>
    <x v="489"/>
    <x v="87"/>
    <n v="363"/>
    <n v="4"/>
    <n v="367"/>
    <n v="0.18"/>
    <x v="52"/>
  </r>
  <r>
    <x v="2"/>
    <x v="490"/>
    <x v="1"/>
    <n v="86865"/>
    <n v="238"/>
    <n v="87103"/>
    <n v="41.86"/>
    <x v="52"/>
  </r>
  <r>
    <x v="3"/>
    <x v="491"/>
    <x v="7"/>
    <n v="1955"/>
    <n v="10"/>
    <n v="1965"/>
    <n v="0.94"/>
    <x v="52"/>
  </r>
  <r>
    <x v="4"/>
    <x v="492"/>
    <x v="2"/>
    <n v="112809"/>
    <n v="182"/>
    <n v="112991"/>
    <n v="54.3"/>
    <x v="52"/>
  </r>
  <r>
    <x v="5"/>
    <x v="493"/>
    <x v="14"/>
    <n v="322"/>
    <n v="0"/>
    <n v="322"/>
    <n v="0.15"/>
    <x v="52"/>
  </r>
  <r>
    <x v="6"/>
    <x v="494"/>
    <x v="29"/>
    <n v="107"/>
    <n v="0"/>
    <n v="107"/>
    <n v="0.05"/>
    <x v="52"/>
  </r>
  <r>
    <x v="7"/>
    <x v="495"/>
    <x v="88"/>
    <n v="133"/>
    <n v="1"/>
    <n v="134"/>
    <n v="0.06"/>
    <x v="52"/>
  </r>
  <r>
    <x v="8"/>
    <x v="496"/>
    <x v="86"/>
    <n v="466"/>
    <n v="0"/>
    <n v="466"/>
    <n v="0.22"/>
    <x v="52"/>
  </r>
  <r>
    <x v="9"/>
    <x v="497"/>
    <x v="85"/>
    <n v="185"/>
    <n v="0"/>
    <n v="185"/>
    <n v="0.09"/>
    <x v="52"/>
  </r>
  <r>
    <x v="10"/>
    <x v="498"/>
    <x v="5"/>
    <n v="176"/>
    <n v="0"/>
    <n v="176"/>
    <n v="0.08"/>
    <x v="52"/>
  </r>
  <r>
    <x v="11"/>
    <x v="499"/>
    <x v="5"/>
    <n v="219"/>
    <n v="0"/>
    <n v="219"/>
    <n v="0.11"/>
    <x v="52"/>
  </r>
  <r>
    <x v="12"/>
    <x v="7"/>
    <x v="6"/>
    <n v="908"/>
    <n v="7"/>
    <n v="915"/>
    <n v="0.44"/>
    <x v="52"/>
  </r>
  <r>
    <x v="0"/>
    <x v="500"/>
    <x v="2"/>
    <n v="88751"/>
    <n v="192"/>
    <n v="88943"/>
    <n v="42.45"/>
    <x v="53"/>
  </r>
  <r>
    <x v="1"/>
    <x v="501"/>
    <x v="0"/>
    <n v="12638"/>
    <n v="101"/>
    <n v="12739"/>
    <n v="6.08"/>
    <x v="53"/>
  </r>
  <r>
    <x v="2"/>
    <x v="502"/>
    <x v="1"/>
    <n v="65157"/>
    <n v="147"/>
    <n v="65304"/>
    <n v="31.17"/>
    <x v="53"/>
  </r>
  <r>
    <x v="3"/>
    <x v="503"/>
    <x v="7"/>
    <n v="755"/>
    <n v="1"/>
    <n v="756"/>
    <n v="0.36"/>
    <x v="53"/>
  </r>
  <r>
    <x v="4"/>
    <x v="504"/>
    <x v="28"/>
    <n v="259"/>
    <n v="0"/>
    <n v="259"/>
    <n v="0.12"/>
    <x v="53"/>
  </r>
  <r>
    <x v="5"/>
    <x v="505"/>
    <x v="11"/>
    <n v="83"/>
    <n v="0"/>
    <n v="83"/>
    <n v="0.04"/>
    <x v="53"/>
  </r>
  <r>
    <x v="6"/>
    <x v="506"/>
    <x v="89"/>
    <n v="126"/>
    <n v="0"/>
    <n v="126"/>
    <n v="0.06"/>
    <x v="53"/>
  </r>
  <r>
    <x v="7"/>
    <x v="507"/>
    <x v="57"/>
    <n v="41"/>
    <n v="0"/>
    <n v="41"/>
    <n v="0.02"/>
    <x v="53"/>
  </r>
  <r>
    <x v="8"/>
    <x v="508"/>
    <x v="90"/>
    <n v="148"/>
    <n v="0"/>
    <n v="148"/>
    <n v="7.0000000000000007E-2"/>
    <x v="53"/>
  </r>
  <r>
    <x v="9"/>
    <x v="509"/>
    <x v="30"/>
    <n v="221"/>
    <n v="0"/>
    <n v="221"/>
    <n v="0.11"/>
    <x v="53"/>
  </r>
  <r>
    <x v="10"/>
    <x v="510"/>
    <x v="91"/>
    <n v="39498"/>
    <n v="60"/>
    <n v="39558"/>
    <n v="18.88"/>
    <x v="53"/>
  </r>
  <r>
    <x v="11"/>
    <x v="511"/>
    <x v="92"/>
    <n v="287"/>
    <n v="3"/>
    <n v="290"/>
    <n v="0.14000000000000001"/>
    <x v="53"/>
  </r>
  <r>
    <x v="12"/>
    <x v="512"/>
    <x v="5"/>
    <n v="270"/>
    <n v="0"/>
    <n v="270"/>
    <n v="0.13"/>
    <x v="53"/>
  </r>
  <r>
    <x v="13"/>
    <x v="513"/>
    <x v="5"/>
    <n v="180"/>
    <n v="0"/>
    <n v="180"/>
    <n v="0.09"/>
    <x v="53"/>
  </r>
  <r>
    <x v="14"/>
    <x v="7"/>
    <x v="6"/>
    <n v="600"/>
    <n v="4"/>
    <n v="604"/>
    <n v="0.28999999999999998"/>
    <x v="53"/>
  </r>
  <r>
    <x v="0"/>
    <x v="514"/>
    <x v="0"/>
    <n v="6115"/>
    <n v="32"/>
    <n v="6147"/>
    <n v="4.87"/>
    <x v="54"/>
  </r>
  <r>
    <x v="1"/>
    <x v="515"/>
    <x v="2"/>
    <n v="57692"/>
    <n v="133"/>
    <n v="57825"/>
    <n v="45.79"/>
    <x v="54"/>
  </r>
  <r>
    <x v="2"/>
    <x v="516"/>
    <x v="7"/>
    <n v="1309"/>
    <n v="13"/>
    <n v="1322"/>
    <n v="1.05"/>
    <x v="54"/>
  </r>
  <r>
    <x v="3"/>
    <x v="517"/>
    <x v="1"/>
    <n v="58029"/>
    <n v="188"/>
    <n v="58217"/>
    <n v="46.1"/>
    <x v="54"/>
  </r>
  <r>
    <x v="4"/>
    <x v="518"/>
    <x v="4"/>
    <n v="1677"/>
    <n v="4"/>
    <n v="1681"/>
    <n v="1.33"/>
    <x v="54"/>
  </r>
  <r>
    <x v="5"/>
    <x v="519"/>
    <x v="35"/>
    <n v="133"/>
    <n v="3"/>
    <n v="136"/>
    <n v="0.11"/>
    <x v="54"/>
  </r>
  <r>
    <x v="6"/>
    <x v="520"/>
    <x v="5"/>
    <n v="272"/>
    <n v="0"/>
    <n v="272"/>
    <n v="0.22"/>
    <x v="54"/>
  </r>
  <r>
    <x v="7"/>
    <x v="7"/>
    <x v="6"/>
    <n v="679"/>
    <n v="4"/>
    <n v="683"/>
    <n v="0.54"/>
    <x v="54"/>
  </r>
  <r>
    <x v="0"/>
    <x v="521"/>
    <x v="0"/>
    <n v="7173"/>
    <n v="57"/>
    <n v="7230"/>
    <n v="5.62"/>
    <x v="55"/>
  </r>
  <r>
    <x v="1"/>
    <x v="522"/>
    <x v="2"/>
    <n v="61609"/>
    <n v="183"/>
    <n v="61792"/>
    <n v="48"/>
    <x v="55"/>
  </r>
  <r>
    <x v="2"/>
    <x v="523"/>
    <x v="1"/>
    <n v="55243"/>
    <n v="256"/>
    <n v="55499"/>
    <n v="43.11"/>
    <x v="55"/>
  </r>
  <r>
    <x v="3"/>
    <x v="112"/>
    <x v="7"/>
    <n v="2388"/>
    <n v="50"/>
    <n v="2438"/>
    <n v="1.89"/>
    <x v="55"/>
  </r>
  <r>
    <x v="4"/>
    <x v="524"/>
    <x v="3"/>
    <n v="94"/>
    <n v="6"/>
    <n v="100"/>
    <n v="0.08"/>
    <x v="55"/>
  </r>
  <r>
    <x v="5"/>
    <x v="525"/>
    <x v="20"/>
    <n v="188"/>
    <n v="0"/>
    <n v="188"/>
    <n v="0.15"/>
    <x v="55"/>
  </r>
  <r>
    <x v="6"/>
    <x v="526"/>
    <x v="11"/>
    <n v="121"/>
    <n v="1"/>
    <n v="122"/>
    <n v="0.09"/>
    <x v="55"/>
  </r>
  <r>
    <x v="7"/>
    <x v="527"/>
    <x v="4"/>
    <n v="411"/>
    <n v="7"/>
    <n v="418"/>
    <n v="0.32"/>
    <x v="55"/>
  </r>
  <r>
    <x v="8"/>
    <x v="528"/>
    <x v="39"/>
    <n v="166"/>
    <n v="1"/>
    <n v="167"/>
    <n v="0.13"/>
    <x v="55"/>
  </r>
  <r>
    <x v="9"/>
    <x v="7"/>
    <x v="6"/>
    <n v="771"/>
    <n v="5"/>
    <n v="776"/>
    <n v="0.6"/>
    <x v="55"/>
  </r>
  <r>
    <x v="0"/>
    <x v="389"/>
    <x v="0"/>
    <n v="16454"/>
    <n v="95"/>
    <n v="16549"/>
    <n v="11.94"/>
    <x v="56"/>
  </r>
  <r>
    <x v="1"/>
    <x v="529"/>
    <x v="2"/>
    <n v="45856"/>
    <n v="132"/>
    <n v="45988"/>
    <n v="33.17"/>
    <x v="56"/>
  </r>
  <r>
    <x v="2"/>
    <x v="530"/>
    <x v="7"/>
    <n v="747"/>
    <n v="9"/>
    <n v="756"/>
    <n v="0.55000000000000004"/>
    <x v="56"/>
  </r>
  <r>
    <x v="3"/>
    <x v="531"/>
    <x v="1"/>
    <n v="73696"/>
    <n v="364"/>
    <n v="74060"/>
    <n v="53.41"/>
    <x v="56"/>
  </r>
  <r>
    <x v="4"/>
    <x v="532"/>
    <x v="72"/>
    <n v="137"/>
    <n v="0"/>
    <n v="137"/>
    <n v="0.1"/>
    <x v="56"/>
  </r>
  <r>
    <x v="5"/>
    <x v="533"/>
    <x v="89"/>
    <n v="55"/>
    <n v="2"/>
    <n v="57"/>
    <n v="0.04"/>
    <x v="56"/>
  </r>
  <r>
    <x v="6"/>
    <x v="534"/>
    <x v="79"/>
    <n v="187"/>
    <n v="1"/>
    <n v="188"/>
    <n v="0.14000000000000001"/>
    <x v="56"/>
  </r>
  <r>
    <x v="7"/>
    <x v="535"/>
    <x v="5"/>
    <n v="108"/>
    <n v="0"/>
    <n v="108"/>
    <n v="0.08"/>
    <x v="56"/>
  </r>
  <r>
    <x v="8"/>
    <x v="536"/>
    <x v="5"/>
    <n v="114"/>
    <n v="3"/>
    <n v="117"/>
    <n v="0.08"/>
    <x v="56"/>
  </r>
  <r>
    <x v="9"/>
    <x v="7"/>
    <x v="6"/>
    <n v="688"/>
    <n v="4"/>
    <n v="692"/>
    <n v="0.5"/>
    <x v="56"/>
  </r>
  <r>
    <x v="0"/>
    <x v="537"/>
    <x v="1"/>
    <n v="65560"/>
    <n v="298"/>
    <n v="65858"/>
    <n v="52.11"/>
    <x v="57"/>
  </r>
  <r>
    <x v="1"/>
    <x v="538"/>
    <x v="2"/>
    <n v="54148"/>
    <n v="168"/>
    <n v="54316"/>
    <n v="42.98"/>
    <x v="57"/>
  </r>
  <r>
    <x v="2"/>
    <x v="539"/>
    <x v="7"/>
    <n v="382"/>
    <n v="6"/>
    <n v="388"/>
    <n v="0.31"/>
    <x v="57"/>
  </r>
  <r>
    <x v="3"/>
    <x v="540"/>
    <x v="0"/>
    <n v="4277"/>
    <n v="39"/>
    <n v="4316"/>
    <n v="3.42"/>
    <x v="57"/>
  </r>
  <r>
    <x v="4"/>
    <x v="541"/>
    <x v="11"/>
    <n v="45"/>
    <n v="0"/>
    <n v="45"/>
    <n v="0.04"/>
    <x v="57"/>
  </r>
  <r>
    <x v="5"/>
    <x v="542"/>
    <x v="93"/>
    <n v="32"/>
    <n v="0"/>
    <n v="32"/>
    <n v="0.03"/>
    <x v="57"/>
  </r>
  <r>
    <x v="6"/>
    <x v="543"/>
    <x v="22"/>
    <n v="44"/>
    <n v="2"/>
    <n v="46"/>
    <n v="0.04"/>
    <x v="57"/>
  </r>
  <r>
    <x v="7"/>
    <x v="544"/>
    <x v="4"/>
    <n v="172"/>
    <n v="1"/>
    <n v="173"/>
    <n v="0.14000000000000001"/>
    <x v="57"/>
  </r>
  <r>
    <x v="8"/>
    <x v="545"/>
    <x v="94"/>
    <n v="41"/>
    <n v="0"/>
    <n v="41"/>
    <n v="0.03"/>
    <x v="57"/>
  </r>
  <r>
    <x v="9"/>
    <x v="546"/>
    <x v="95"/>
    <n v="107"/>
    <n v="0"/>
    <n v="107"/>
    <n v="0.08"/>
    <x v="57"/>
  </r>
  <r>
    <x v="10"/>
    <x v="547"/>
    <x v="14"/>
    <n v="48"/>
    <n v="0"/>
    <n v="48"/>
    <n v="0.04"/>
    <x v="57"/>
  </r>
  <r>
    <x v="11"/>
    <x v="548"/>
    <x v="96"/>
    <n v="133"/>
    <n v="2"/>
    <n v="135"/>
    <n v="0.11"/>
    <x v="57"/>
  </r>
  <r>
    <x v="12"/>
    <x v="549"/>
    <x v="5"/>
    <n v="48"/>
    <n v="0"/>
    <n v="48"/>
    <n v="0.04"/>
    <x v="57"/>
  </r>
  <r>
    <x v="13"/>
    <x v="550"/>
    <x v="5"/>
    <n v="74"/>
    <n v="0"/>
    <n v="74"/>
    <n v="0.06"/>
    <x v="57"/>
  </r>
  <r>
    <x v="14"/>
    <x v="551"/>
    <x v="5"/>
    <n v="69"/>
    <n v="0"/>
    <n v="69"/>
    <n v="0.05"/>
    <x v="57"/>
  </r>
  <r>
    <x v="15"/>
    <x v="7"/>
    <x v="6"/>
    <n v="680"/>
    <n v="6"/>
    <n v="686"/>
    <n v="0.54"/>
    <x v="57"/>
  </r>
  <r>
    <x v="0"/>
    <x v="552"/>
    <x v="1"/>
    <n v="71672"/>
    <n v="469"/>
    <n v="72141"/>
    <n v="57.7"/>
    <x v="58"/>
  </r>
  <r>
    <x v="1"/>
    <x v="553"/>
    <x v="2"/>
    <n v="46955"/>
    <n v="144"/>
    <n v="47099"/>
    <n v="37.67"/>
    <x v="58"/>
  </r>
  <r>
    <x v="2"/>
    <x v="554"/>
    <x v="0"/>
    <n v="3576"/>
    <n v="51"/>
    <n v="3627"/>
    <n v="2.9"/>
    <x v="58"/>
  </r>
  <r>
    <x v="3"/>
    <x v="555"/>
    <x v="7"/>
    <n v="436"/>
    <n v="7"/>
    <n v="443"/>
    <n v="0.35"/>
    <x v="58"/>
  </r>
  <r>
    <x v="4"/>
    <x v="389"/>
    <x v="27"/>
    <n v="47"/>
    <n v="0"/>
    <n v="47"/>
    <n v="0.04"/>
    <x v="58"/>
  </r>
  <r>
    <x v="5"/>
    <x v="556"/>
    <x v="33"/>
    <n v="161"/>
    <n v="0"/>
    <n v="161"/>
    <n v="0.13"/>
    <x v="58"/>
  </r>
  <r>
    <x v="6"/>
    <x v="109"/>
    <x v="97"/>
    <n v="47"/>
    <n v="2"/>
    <n v="49"/>
    <n v="0.04"/>
    <x v="58"/>
  </r>
  <r>
    <x v="7"/>
    <x v="557"/>
    <x v="22"/>
    <n v="49"/>
    <n v="0"/>
    <n v="49"/>
    <n v="0.04"/>
    <x v="58"/>
  </r>
  <r>
    <x v="8"/>
    <x v="558"/>
    <x v="51"/>
    <n v="142"/>
    <n v="0"/>
    <n v="142"/>
    <n v="0.11"/>
    <x v="58"/>
  </r>
  <r>
    <x v="9"/>
    <x v="559"/>
    <x v="84"/>
    <n v="217"/>
    <n v="0"/>
    <n v="217"/>
    <n v="0.17"/>
    <x v="58"/>
  </r>
  <r>
    <x v="10"/>
    <x v="7"/>
    <x v="6"/>
    <n v="1042"/>
    <n v="5"/>
    <n v="1047"/>
    <n v="0.84"/>
    <x v="58"/>
  </r>
  <r>
    <x v="0"/>
    <x v="560"/>
    <x v="1"/>
    <n v="75623"/>
    <n v="299"/>
    <n v="75922"/>
    <n v="52.94"/>
    <x v="59"/>
  </r>
  <r>
    <x v="1"/>
    <x v="561"/>
    <x v="7"/>
    <n v="544"/>
    <n v="8"/>
    <n v="552"/>
    <n v="0.38"/>
    <x v="59"/>
  </r>
  <r>
    <x v="2"/>
    <x v="562"/>
    <x v="0"/>
    <n v="9356"/>
    <n v="37"/>
    <n v="9393"/>
    <n v="6.55"/>
    <x v="59"/>
  </r>
  <r>
    <x v="3"/>
    <x v="563"/>
    <x v="2"/>
    <n v="56332"/>
    <n v="92"/>
    <n v="56424"/>
    <n v="39.35"/>
    <x v="59"/>
  </r>
  <r>
    <x v="4"/>
    <x v="564"/>
    <x v="27"/>
    <n v="131"/>
    <n v="0"/>
    <n v="131"/>
    <n v="0.09"/>
    <x v="59"/>
  </r>
  <r>
    <x v="5"/>
    <x v="565"/>
    <x v="98"/>
    <n v="96"/>
    <n v="0"/>
    <n v="96"/>
    <n v="7.0000000000000007E-2"/>
    <x v="59"/>
  </r>
  <r>
    <x v="6"/>
    <x v="566"/>
    <x v="5"/>
    <n v="191"/>
    <n v="0"/>
    <n v="191"/>
    <n v="0.13"/>
    <x v="59"/>
  </r>
  <r>
    <x v="7"/>
    <x v="7"/>
    <x v="6"/>
    <n v="687"/>
    <n v="9"/>
    <n v="696"/>
    <n v="0.49"/>
    <x v="59"/>
  </r>
  <r>
    <x v="0"/>
    <x v="567"/>
    <x v="1"/>
    <n v="56665"/>
    <n v="193"/>
    <n v="56858"/>
    <n v="53.94"/>
    <x v="60"/>
  </r>
  <r>
    <x v="1"/>
    <x v="568"/>
    <x v="0"/>
    <n v="3433"/>
    <n v="20"/>
    <n v="3453"/>
    <n v="3.28"/>
    <x v="60"/>
  </r>
  <r>
    <x v="2"/>
    <x v="569"/>
    <x v="7"/>
    <n v="235"/>
    <n v="0"/>
    <n v="235"/>
    <n v="0.22"/>
    <x v="60"/>
  </r>
  <r>
    <x v="3"/>
    <x v="570"/>
    <x v="2"/>
    <n v="44059"/>
    <n v="51"/>
    <n v="44110"/>
    <n v="41.85"/>
    <x v="60"/>
  </r>
  <r>
    <x v="4"/>
    <x v="571"/>
    <x v="75"/>
    <n v="190"/>
    <n v="0"/>
    <n v="190"/>
    <n v="0.18"/>
    <x v="60"/>
  </r>
  <r>
    <x v="5"/>
    <x v="572"/>
    <x v="5"/>
    <n v="156"/>
    <n v="0"/>
    <n v="156"/>
    <n v="0.15"/>
    <x v="60"/>
  </r>
  <r>
    <x v="6"/>
    <x v="7"/>
    <x v="6"/>
    <n v="402"/>
    <n v="0"/>
    <n v="402"/>
    <n v="0.38"/>
    <x v="60"/>
  </r>
  <r>
    <x v="0"/>
    <x v="573"/>
    <x v="0"/>
    <n v="3834"/>
    <n v="28"/>
    <n v="3862"/>
    <n v="3.05"/>
    <x v="61"/>
  </r>
  <r>
    <x v="1"/>
    <x v="574"/>
    <x v="2"/>
    <n v="57449"/>
    <n v="161"/>
    <n v="57610"/>
    <n v="45.54"/>
    <x v="61"/>
  </r>
  <r>
    <x v="2"/>
    <x v="575"/>
    <x v="7"/>
    <n v="586"/>
    <n v="10"/>
    <n v="596"/>
    <n v="0.47"/>
    <x v="61"/>
  </r>
  <r>
    <x v="3"/>
    <x v="576"/>
    <x v="1"/>
    <n v="62477"/>
    <n v="311"/>
    <n v="62788"/>
    <n v="49.63"/>
    <x v="61"/>
  </r>
  <r>
    <x v="4"/>
    <x v="577"/>
    <x v="27"/>
    <n v="145"/>
    <n v="0"/>
    <n v="145"/>
    <n v="0.11"/>
    <x v="61"/>
  </r>
  <r>
    <x v="5"/>
    <x v="578"/>
    <x v="51"/>
    <n v="181"/>
    <n v="1"/>
    <n v="182"/>
    <n v="0.14000000000000001"/>
    <x v="61"/>
  </r>
  <r>
    <x v="6"/>
    <x v="579"/>
    <x v="14"/>
    <n v="58"/>
    <n v="0"/>
    <n v="58"/>
    <n v="0.05"/>
    <x v="61"/>
  </r>
  <r>
    <x v="7"/>
    <x v="580"/>
    <x v="5"/>
    <n v="87"/>
    <n v="0"/>
    <n v="87"/>
    <n v="7.0000000000000007E-2"/>
    <x v="61"/>
  </r>
  <r>
    <x v="8"/>
    <x v="581"/>
    <x v="5"/>
    <n v="52"/>
    <n v="0"/>
    <n v="52"/>
    <n v="0.04"/>
    <x v="61"/>
  </r>
  <r>
    <x v="9"/>
    <x v="582"/>
    <x v="5"/>
    <n v="577"/>
    <n v="2"/>
    <n v="579"/>
    <n v="0.46"/>
    <x v="61"/>
  </r>
  <r>
    <x v="10"/>
    <x v="7"/>
    <x v="6"/>
    <n v="555"/>
    <n v="3"/>
    <n v="558"/>
    <n v="0.44"/>
    <x v="61"/>
  </r>
  <r>
    <x v="0"/>
    <x v="583"/>
    <x v="7"/>
    <n v="855"/>
    <n v="12"/>
    <n v="867"/>
    <n v="0.63"/>
    <x v="62"/>
  </r>
  <r>
    <x v="1"/>
    <x v="584"/>
    <x v="0"/>
    <n v="11788"/>
    <n v="35"/>
    <n v="11823"/>
    <n v="8.6300000000000008"/>
    <x v="62"/>
  </r>
  <r>
    <x v="2"/>
    <x v="585"/>
    <x v="1"/>
    <n v="55766"/>
    <n v="219"/>
    <n v="55985"/>
    <n v="40.880000000000003"/>
    <x v="62"/>
  </r>
  <r>
    <x v="3"/>
    <x v="586"/>
    <x v="2"/>
    <n v="66186"/>
    <n v="167"/>
    <n v="66353"/>
    <n v="48.45"/>
    <x v="62"/>
  </r>
  <r>
    <x v="4"/>
    <x v="587"/>
    <x v="22"/>
    <n v="276"/>
    <n v="1"/>
    <n v="277"/>
    <n v="0.2"/>
    <x v="62"/>
  </r>
  <r>
    <x v="5"/>
    <x v="389"/>
    <x v="4"/>
    <n v="650"/>
    <n v="4"/>
    <n v="654"/>
    <n v="0.48"/>
    <x v="62"/>
  </r>
  <r>
    <x v="6"/>
    <x v="588"/>
    <x v="11"/>
    <n v="58"/>
    <n v="0"/>
    <n v="58"/>
    <n v="0.04"/>
    <x v="62"/>
  </r>
  <r>
    <x v="7"/>
    <x v="589"/>
    <x v="99"/>
    <n v="50"/>
    <n v="1"/>
    <n v="51"/>
    <n v="0.04"/>
    <x v="62"/>
  </r>
  <r>
    <x v="8"/>
    <x v="590"/>
    <x v="14"/>
    <n v="110"/>
    <n v="0"/>
    <n v="110"/>
    <n v="0.08"/>
    <x v="62"/>
  </r>
  <r>
    <x v="9"/>
    <x v="591"/>
    <x v="100"/>
    <n v="163"/>
    <n v="0"/>
    <n v="163"/>
    <n v="0.12"/>
    <x v="62"/>
  </r>
  <r>
    <x v="10"/>
    <x v="592"/>
    <x v="5"/>
    <n v="158"/>
    <n v="0"/>
    <n v="158"/>
    <n v="0.12"/>
    <x v="62"/>
  </r>
  <r>
    <x v="11"/>
    <x v="7"/>
    <x v="6"/>
    <n v="453"/>
    <n v="5"/>
    <n v="458"/>
    <n v="0.33"/>
    <x v="62"/>
  </r>
  <r>
    <x v="0"/>
    <x v="218"/>
    <x v="7"/>
    <n v="930"/>
    <n v="23"/>
    <n v="953"/>
    <n v="0.66"/>
    <x v="63"/>
  </r>
  <r>
    <x v="1"/>
    <x v="593"/>
    <x v="1"/>
    <n v="82299"/>
    <n v="597"/>
    <n v="82896"/>
    <n v="57.44"/>
    <x v="63"/>
  </r>
  <r>
    <x v="2"/>
    <x v="519"/>
    <x v="2"/>
    <n v="54803"/>
    <n v="191"/>
    <n v="54994"/>
    <n v="38.11"/>
    <x v="63"/>
  </r>
  <r>
    <x v="3"/>
    <x v="594"/>
    <x v="0"/>
    <n v="3604"/>
    <n v="35"/>
    <n v="3639"/>
    <n v="2.52"/>
    <x v="63"/>
  </r>
  <r>
    <x v="4"/>
    <x v="595"/>
    <x v="101"/>
    <n v="48"/>
    <n v="0"/>
    <n v="48"/>
    <n v="0.03"/>
    <x v="63"/>
  </r>
  <r>
    <x v="5"/>
    <x v="129"/>
    <x v="14"/>
    <n v="91"/>
    <n v="0"/>
    <n v="91"/>
    <n v="0.06"/>
    <x v="63"/>
  </r>
  <r>
    <x v="6"/>
    <x v="596"/>
    <x v="55"/>
    <n v="42"/>
    <n v="1"/>
    <n v="43"/>
    <n v="0.03"/>
    <x v="63"/>
  </r>
  <r>
    <x v="7"/>
    <x v="597"/>
    <x v="48"/>
    <n v="63"/>
    <n v="0"/>
    <n v="63"/>
    <n v="0.04"/>
    <x v="63"/>
  </r>
  <r>
    <x v="8"/>
    <x v="598"/>
    <x v="12"/>
    <n v="54"/>
    <n v="0"/>
    <n v="54"/>
    <n v="0.04"/>
    <x v="63"/>
  </r>
  <r>
    <x v="9"/>
    <x v="599"/>
    <x v="77"/>
    <n v="30"/>
    <n v="0"/>
    <n v="30"/>
    <n v="0.02"/>
    <x v="63"/>
  </r>
  <r>
    <x v="10"/>
    <x v="600"/>
    <x v="4"/>
    <n v="172"/>
    <n v="2"/>
    <n v="174"/>
    <n v="0.12"/>
    <x v="63"/>
  </r>
  <r>
    <x v="11"/>
    <x v="601"/>
    <x v="21"/>
    <n v="34"/>
    <n v="1"/>
    <n v="35"/>
    <n v="0.02"/>
    <x v="63"/>
  </r>
  <r>
    <x v="12"/>
    <x v="602"/>
    <x v="5"/>
    <n v="45"/>
    <n v="0"/>
    <n v="45"/>
    <n v="0.03"/>
    <x v="63"/>
  </r>
  <r>
    <x v="13"/>
    <x v="603"/>
    <x v="5"/>
    <n v="548"/>
    <n v="2"/>
    <n v="550"/>
    <n v="0.38"/>
    <x v="63"/>
  </r>
  <r>
    <x v="14"/>
    <x v="604"/>
    <x v="5"/>
    <n v="72"/>
    <n v="0"/>
    <n v="72"/>
    <n v="0.05"/>
    <x v="63"/>
  </r>
  <r>
    <x v="15"/>
    <x v="7"/>
    <x v="6"/>
    <n v="628"/>
    <n v="2"/>
    <n v="630"/>
    <n v="0.44"/>
    <x v="63"/>
  </r>
  <r>
    <x v="0"/>
    <x v="605"/>
    <x v="1"/>
    <n v="36353"/>
    <n v="179"/>
    <n v="36532"/>
    <n v="27.38"/>
    <x v="64"/>
  </r>
  <r>
    <x v="1"/>
    <x v="606"/>
    <x v="0"/>
    <n v="16524"/>
    <n v="27"/>
    <n v="16551"/>
    <n v="12.4"/>
    <x v="64"/>
  </r>
  <r>
    <x v="2"/>
    <x v="607"/>
    <x v="2"/>
    <n v="78866"/>
    <n v="143"/>
    <n v="79009"/>
    <n v="59.21"/>
    <x v="64"/>
  </r>
  <r>
    <x v="3"/>
    <x v="109"/>
    <x v="7"/>
    <n v="415"/>
    <n v="7"/>
    <n v="422"/>
    <n v="0.32"/>
    <x v="64"/>
  </r>
  <r>
    <x v="4"/>
    <x v="608"/>
    <x v="20"/>
    <n v="107"/>
    <n v="0"/>
    <n v="107"/>
    <n v="0.08"/>
    <x v="64"/>
  </r>
  <r>
    <x v="5"/>
    <x v="609"/>
    <x v="102"/>
    <n v="177"/>
    <n v="0"/>
    <n v="177"/>
    <n v="0.13"/>
    <x v="64"/>
  </r>
  <r>
    <x v="6"/>
    <x v="610"/>
    <x v="55"/>
    <n v="50"/>
    <n v="0"/>
    <n v="50"/>
    <n v="0.04"/>
    <x v="64"/>
  </r>
  <r>
    <x v="7"/>
    <x v="611"/>
    <x v="5"/>
    <n v="24"/>
    <n v="0"/>
    <n v="24"/>
    <n v="0.02"/>
    <x v="64"/>
  </r>
  <r>
    <x v="8"/>
    <x v="612"/>
    <x v="5"/>
    <n v="22"/>
    <n v="0"/>
    <n v="22"/>
    <n v="0.02"/>
    <x v="64"/>
  </r>
  <r>
    <x v="9"/>
    <x v="613"/>
    <x v="5"/>
    <n v="29"/>
    <n v="0"/>
    <n v="29"/>
    <n v="0.02"/>
    <x v="64"/>
  </r>
  <r>
    <x v="10"/>
    <x v="614"/>
    <x v="5"/>
    <n v="44"/>
    <n v="0"/>
    <n v="44"/>
    <n v="0.03"/>
    <x v="64"/>
  </r>
  <r>
    <x v="11"/>
    <x v="615"/>
    <x v="5"/>
    <n v="72"/>
    <n v="0"/>
    <n v="72"/>
    <n v="0.05"/>
    <x v="64"/>
  </r>
  <r>
    <x v="12"/>
    <x v="616"/>
    <x v="5"/>
    <n v="46"/>
    <n v="0"/>
    <n v="46"/>
    <n v="0.03"/>
    <x v="64"/>
  </r>
  <r>
    <x v="13"/>
    <x v="7"/>
    <x v="6"/>
    <n v="353"/>
    <n v="2"/>
    <n v="355"/>
    <n v="0.27"/>
    <x v="64"/>
  </r>
  <r>
    <x v="0"/>
    <x v="617"/>
    <x v="1"/>
    <n v="79706"/>
    <n v="281"/>
    <n v="79987"/>
    <n v="56.96"/>
    <x v="65"/>
  </r>
  <r>
    <x v="1"/>
    <x v="618"/>
    <x v="2"/>
    <n v="53828"/>
    <n v="101"/>
    <n v="53929"/>
    <n v="38.409999999999997"/>
    <x v="65"/>
  </r>
  <r>
    <x v="2"/>
    <x v="619"/>
    <x v="0"/>
    <n v="4859"/>
    <n v="24"/>
    <n v="4883"/>
    <n v="3.48"/>
    <x v="65"/>
  </r>
  <r>
    <x v="3"/>
    <x v="620"/>
    <x v="7"/>
    <n v="448"/>
    <n v="6"/>
    <n v="454"/>
    <n v="0.32"/>
    <x v="65"/>
  </r>
  <r>
    <x v="4"/>
    <x v="621"/>
    <x v="55"/>
    <n v="56"/>
    <n v="0"/>
    <n v="56"/>
    <n v="0.04"/>
    <x v="65"/>
  </r>
  <r>
    <x v="5"/>
    <x v="76"/>
    <x v="31"/>
    <n v="114"/>
    <n v="0"/>
    <n v="114"/>
    <n v="0.08"/>
    <x v="65"/>
  </r>
  <r>
    <x v="6"/>
    <x v="622"/>
    <x v="14"/>
    <n v="44"/>
    <n v="2"/>
    <n v="46"/>
    <n v="0.03"/>
    <x v="65"/>
  </r>
  <r>
    <x v="7"/>
    <x v="623"/>
    <x v="11"/>
    <n v="84"/>
    <n v="0"/>
    <n v="84"/>
    <n v="0.06"/>
    <x v="65"/>
  </r>
  <r>
    <x v="8"/>
    <x v="618"/>
    <x v="5"/>
    <n v="277"/>
    <n v="2"/>
    <n v="279"/>
    <n v="0.2"/>
    <x v="65"/>
  </r>
  <r>
    <x v="9"/>
    <x v="7"/>
    <x v="6"/>
    <n v="587"/>
    <n v="1"/>
    <n v="588"/>
    <n v="0.42"/>
    <x v="65"/>
  </r>
  <r>
    <x v="0"/>
    <x v="624"/>
    <x v="1"/>
    <n v="56758"/>
    <n v="440"/>
    <n v="57198"/>
    <n v="39.93"/>
    <x v="66"/>
  </r>
  <r>
    <x v="1"/>
    <x v="625"/>
    <x v="2"/>
    <n v="76031"/>
    <n v="161"/>
    <n v="76192"/>
    <n v="53.19"/>
    <x v="66"/>
  </r>
  <r>
    <x v="2"/>
    <x v="626"/>
    <x v="0"/>
    <n v="8777"/>
    <n v="20"/>
    <n v="8797"/>
    <n v="6.14"/>
    <x v="66"/>
  </r>
  <r>
    <x v="3"/>
    <x v="627"/>
    <x v="8"/>
    <n v="93"/>
    <n v="0"/>
    <n v="93"/>
    <n v="0.06"/>
    <x v="66"/>
  </r>
  <r>
    <x v="4"/>
    <x v="628"/>
    <x v="103"/>
    <n v="201"/>
    <n v="0"/>
    <n v="201"/>
    <n v="0.14000000000000001"/>
    <x v="66"/>
  </r>
  <r>
    <x v="5"/>
    <x v="330"/>
    <x v="35"/>
    <n v="75"/>
    <n v="1"/>
    <n v="76"/>
    <n v="0.05"/>
    <x v="66"/>
  </r>
  <r>
    <x v="6"/>
    <x v="629"/>
    <x v="12"/>
    <n v="89"/>
    <n v="0"/>
    <n v="89"/>
    <n v="0.06"/>
    <x v="66"/>
  </r>
  <r>
    <x v="7"/>
    <x v="630"/>
    <x v="5"/>
    <n v="124"/>
    <n v="0"/>
    <n v="124"/>
    <n v="0.09"/>
    <x v="66"/>
  </r>
  <r>
    <x v="8"/>
    <x v="7"/>
    <x v="6"/>
    <n v="471"/>
    <n v="3"/>
    <n v="474"/>
    <n v="0.33"/>
    <x v="66"/>
  </r>
  <r>
    <x v="0"/>
    <x v="631"/>
    <x v="0"/>
    <n v="5840"/>
    <n v="65"/>
    <n v="5905"/>
    <n v="3.56"/>
    <x v="67"/>
  </r>
  <r>
    <x v="1"/>
    <x v="632"/>
    <x v="1"/>
    <n v="71764"/>
    <n v="533"/>
    <n v="72297"/>
    <n v="43.54"/>
    <x v="67"/>
  </r>
  <r>
    <x v="2"/>
    <x v="633"/>
    <x v="7"/>
    <n v="2518"/>
    <n v="44"/>
    <n v="2562"/>
    <n v="1.54"/>
    <x v="67"/>
  </r>
  <r>
    <x v="3"/>
    <x v="634"/>
    <x v="2"/>
    <n v="80086"/>
    <n v="418"/>
    <n v="80504"/>
    <n v="48.48"/>
    <x v="67"/>
  </r>
  <r>
    <x v="4"/>
    <x v="635"/>
    <x v="39"/>
    <n v="335"/>
    <n v="4"/>
    <n v="339"/>
    <n v="0.2"/>
    <x v="67"/>
  </r>
  <r>
    <x v="5"/>
    <x v="636"/>
    <x v="4"/>
    <n v="3049"/>
    <n v="37"/>
    <n v="3086"/>
    <n v="1.86"/>
    <x v="67"/>
  </r>
  <r>
    <x v="6"/>
    <x v="588"/>
    <x v="11"/>
    <n v="91"/>
    <n v="0"/>
    <n v="91"/>
    <n v="0.05"/>
    <x v="67"/>
  </r>
  <r>
    <x v="7"/>
    <x v="637"/>
    <x v="14"/>
    <n v="64"/>
    <n v="0"/>
    <n v="64"/>
    <n v="0.04"/>
    <x v="67"/>
  </r>
  <r>
    <x v="8"/>
    <x v="638"/>
    <x v="22"/>
    <n v="193"/>
    <n v="2"/>
    <n v="195"/>
    <n v="0.12"/>
    <x v="67"/>
  </r>
  <r>
    <x v="9"/>
    <x v="639"/>
    <x v="99"/>
    <n v="145"/>
    <n v="0"/>
    <n v="145"/>
    <n v="0.09"/>
    <x v="67"/>
  </r>
  <r>
    <x v="10"/>
    <x v="640"/>
    <x v="21"/>
    <n v="125"/>
    <n v="4"/>
    <n v="129"/>
    <n v="0.08"/>
    <x v="67"/>
  </r>
  <r>
    <x v="11"/>
    <x v="641"/>
    <x v="5"/>
    <n v="130"/>
    <n v="3"/>
    <n v="133"/>
    <n v="0.08"/>
    <x v="67"/>
  </r>
  <r>
    <x v="12"/>
    <x v="7"/>
    <x v="6"/>
    <n v="589"/>
    <n v="12"/>
    <n v="601"/>
    <n v="0.36"/>
    <x v="67"/>
  </r>
  <r>
    <x v="0"/>
    <x v="642"/>
    <x v="0"/>
    <n v="11732"/>
    <n v="31"/>
    <n v="11763"/>
    <n v="5.85"/>
    <x v="68"/>
  </r>
  <r>
    <x v="1"/>
    <x v="218"/>
    <x v="7"/>
    <n v="1201"/>
    <n v="22"/>
    <n v="1223"/>
    <n v="0.61"/>
    <x v="68"/>
  </r>
  <r>
    <x v="2"/>
    <x v="643"/>
    <x v="2"/>
    <n v="67511"/>
    <n v="126"/>
    <n v="67637"/>
    <n v="33.619999999999997"/>
    <x v="68"/>
  </r>
  <r>
    <x v="3"/>
    <x v="644"/>
    <x v="1"/>
    <n v="84888"/>
    <n v="327"/>
    <n v="85215"/>
    <n v="42.36"/>
    <x v="68"/>
  </r>
  <r>
    <x v="4"/>
    <x v="645"/>
    <x v="29"/>
    <n v="236"/>
    <n v="0"/>
    <n v="236"/>
    <n v="0.12"/>
    <x v="68"/>
  </r>
  <r>
    <x v="5"/>
    <x v="646"/>
    <x v="104"/>
    <n v="151"/>
    <n v="0"/>
    <n v="151"/>
    <n v="0.08"/>
    <x v="68"/>
  </r>
  <r>
    <x v="6"/>
    <x v="647"/>
    <x v="91"/>
    <n v="33467"/>
    <n v="7"/>
    <n v="33474"/>
    <n v="16.64"/>
    <x v="68"/>
  </r>
  <r>
    <x v="7"/>
    <x v="648"/>
    <x v="99"/>
    <n v="391"/>
    <n v="0"/>
    <n v="391"/>
    <n v="0.19"/>
    <x v="68"/>
  </r>
  <r>
    <x v="8"/>
    <x v="649"/>
    <x v="102"/>
    <n v="75"/>
    <n v="0"/>
    <n v="75"/>
    <n v="0.04"/>
    <x v="68"/>
  </r>
  <r>
    <x v="9"/>
    <x v="650"/>
    <x v="22"/>
    <n v="191"/>
    <n v="1"/>
    <n v="192"/>
    <n v="0.1"/>
    <x v="68"/>
  </r>
  <r>
    <x v="10"/>
    <x v="651"/>
    <x v="37"/>
    <n v="227"/>
    <n v="0"/>
    <n v="227"/>
    <n v="0.11"/>
    <x v="68"/>
  </r>
  <r>
    <x v="11"/>
    <x v="652"/>
    <x v="5"/>
    <n v="122"/>
    <n v="0"/>
    <n v="122"/>
    <n v="0.06"/>
    <x v="68"/>
  </r>
  <r>
    <x v="12"/>
    <x v="7"/>
    <x v="6"/>
    <n v="451"/>
    <n v="4"/>
    <n v="455"/>
    <n v="0.23"/>
    <x v="68"/>
  </r>
  <r>
    <x v="0"/>
    <x v="653"/>
    <x v="87"/>
    <n v="456"/>
    <n v="1"/>
    <n v="457"/>
    <n v="0.23"/>
    <x v="69"/>
  </r>
  <r>
    <x v="1"/>
    <x v="654"/>
    <x v="1"/>
    <n v="106963"/>
    <n v="404"/>
    <n v="107367"/>
    <n v="53.39"/>
    <x v="69"/>
  </r>
  <r>
    <x v="2"/>
    <x v="655"/>
    <x v="7"/>
    <n v="1876"/>
    <n v="11"/>
    <n v="1887"/>
    <n v="0.94"/>
    <x v="69"/>
  </r>
  <r>
    <x v="3"/>
    <x v="656"/>
    <x v="2"/>
    <n v="83843"/>
    <n v="169"/>
    <n v="84012"/>
    <n v="41.78"/>
    <x v="69"/>
  </r>
  <r>
    <x v="4"/>
    <x v="657"/>
    <x v="0"/>
    <n v="3908"/>
    <n v="13"/>
    <n v="3921"/>
    <n v="1.95"/>
    <x v="69"/>
  </r>
  <r>
    <x v="5"/>
    <x v="658"/>
    <x v="43"/>
    <n v="100"/>
    <n v="0"/>
    <n v="100"/>
    <n v="0.05"/>
    <x v="69"/>
  </r>
  <r>
    <x v="6"/>
    <x v="659"/>
    <x v="105"/>
    <n v="278"/>
    <n v="0"/>
    <n v="278"/>
    <n v="0.14000000000000001"/>
    <x v="69"/>
  </r>
  <r>
    <x v="7"/>
    <x v="660"/>
    <x v="29"/>
    <n v="89"/>
    <n v="1"/>
    <n v="90"/>
    <n v="0.04"/>
    <x v="69"/>
  </r>
  <r>
    <x v="8"/>
    <x v="661"/>
    <x v="22"/>
    <n v="128"/>
    <n v="0"/>
    <n v="128"/>
    <n v="0.06"/>
    <x v="69"/>
  </r>
  <r>
    <x v="9"/>
    <x v="662"/>
    <x v="14"/>
    <n v="165"/>
    <n v="0"/>
    <n v="165"/>
    <n v="0.08"/>
    <x v="69"/>
  </r>
  <r>
    <x v="10"/>
    <x v="663"/>
    <x v="35"/>
    <n v="70"/>
    <n v="1"/>
    <n v="71"/>
    <n v="0.04"/>
    <x v="69"/>
  </r>
  <r>
    <x v="11"/>
    <x v="664"/>
    <x v="106"/>
    <n v="491"/>
    <n v="0"/>
    <n v="491"/>
    <n v="0.24"/>
    <x v="69"/>
  </r>
  <r>
    <x v="12"/>
    <x v="665"/>
    <x v="5"/>
    <n v="1002"/>
    <n v="4"/>
    <n v="1006"/>
    <n v="0.5"/>
    <x v="69"/>
  </r>
  <r>
    <x v="13"/>
    <x v="666"/>
    <x v="5"/>
    <n v="228"/>
    <n v="1"/>
    <n v="229"/>
    <n v="0.11"/>
    <x v="69"/>
  </r>
  <r>
    <x v="14"/>
    <x v="667"/>
    <x v="5"/>
    <n v="173"/>
    <n v="0"/>
    <n v="173"/>
    <n v="0.09"/>
    <x v="69"/>
  </r>
  <r>
    <x v="15"/>
    <x v="7"/>
    <x v="6"/>
    <n v="706"/>
    <n v="3"/>
    <n v="709"/>
    <n v="0.35"/>
    <x v="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x v="0"/>
    <x v="0"/>
    <x v="0"/>
    <n v="86463"/>
    <n v="752"/>
    <n v="87215"/>
    <n v="49.91"/>
  </r>
  <r>
    <x v="1"/>
    <x v="0"/>
    <x v="1"/>
    <x v="1"/>
    <x v="1"/>
    <n v="120813"/>
    <n v="368"/>
    <n v="121181"/>
    <n v="47.57"/>
  </r>
  <r>
    <x v="2"/>
    <x v="0"/>
    <x v="2"/>
    <x v="2"/>
    <x v="0"/>
    <n v="55626"/>
    <n v="315"/>
    <n v="55941"/>
    <n v="46.03"/>
  </r>
  <r>
    <x v="3"/>
    <x v="0"/>
    <x v="1"/>
    <x v="3"/>
    <x v="0"/>
    <n v="52260"/>
    <n v="250"/>
    <n v="52510"/>
    <n v="52.27"/>
  </r>
  <r>
    <x v="4"/>
    <x v="0"/>
    <x v="0"/>
    <x v="4"/>
    <x v="0"/>
    <n v="61011"/>
    <n v="181"/>
    <n v="61192"/>
    <n v="40.56"/>
  </r>
  <r>
    <x v="5"/>
    <x v="0"/>
    <x v="3"/>
    <x v="5"/>
    <x v="0"/>
    <n v="103950"/>
    <n v="421"/>
    <n v="104371"/>
    <n v="55.76"/>
  </r>
  <r>
    <x v="6"/>
    <x v="0"/>
    <x v="0"/>
    <x v="6"/>
    <x v="0"/>
    <n v="118746"/>
    <n v="769"/>
    <n v="119515"/>
    <n v="52"/>
  </r>
  <r>
    <x v="7"/>
    <x v="0"/>
    <x v="3"/>
    <x v="7"/>
    <x v="0"/>
    <n v="89128"/>
    <n v="711"/>
    <n v="89839"/>
    <n v="47.07"/>
  </r>
  <r>
    <x v="8"/>
    <x v="0"/>
    <x v="3"/>
    <x v="8"/>
    <x v="1"/>
    <n v="105660"/>
    <n v="120"/>
    <n v="105780"/>
    <n v="52.26"/>
  </r>
  <r>
    <x v="9"/>
    <x v="0"/>
    <x v="2"/>
    <x v="9"/>
    <x v="1"/>
    <n v="58687"/>
    <n v="80"/>
    <n v="58767"/>
    <n v="52.09"/>
  </r>
  <r>
    <x v="10"/>
    <x v="0"/>
    <x v="3"/>
    <x v="10"/>
    <x v="0"/>
    <n v="74950"/>
    <n v="322"/>
    <n v="75272"/>
    <n v="47.25"/>
  </r>
  <r>
    <x v="11"/>
    <x v="0"/>
    <x v="1"/>
    <x v="11"/>
    <x v="0"/>
    <n v="61805"/>
    <n v="202"/>
    <n v="62007"/>
    <n v="50.23"/>
  </r>
  <r>
    <x v="12"/>
    <x v="0"/>
    <x v="0"/>
    <x v="12"/>
    <x v="0"/>
    <n v="69890"/>
    <n v="475"/>
    <n v="70365"/>
    <n v="65.010000000000005"/>
  </r>
  <r>
    <x v="13"/>
    <x v="0"/>
    <x v="1"/>
    <x v="13"/>
    <x v="0"/>
    <n v="67839"/>
    <n v="361"/>
    <n v="68200"/>
    <n v="59.95"/>
  </r>
  <r>
    <x v="14"/>
    <x v="0"/>
    <x v="3"/>
    <x v="14"/>
    <x v="0"/>
    <n v="56570"/>
    <n v="299"/>
    <n v="56869"/>
    <n v="57.07"/>
  </r>
  <r>
    <x v="15"/>
    <x v="0"/>
    <x v="3"/>
    <x v="15"/>
    <x v="0"/>
    <n v="58836"/>
    <n v="237"/>
    <n v="59073"/>
    <n v="53.36"/>
  </r>
  <r>
    <x v="16"/>
    <x v="0"/>
    <x v="3"/>
    <x v="16"/>
    <x v="0"/>
    <n v="54414"/>
    <n v="307"/>
    <n v="54721"/>
    <n v="51.24"/>
  </r>
  <r>
    <x v="17"/>
    <x v="0"/>
    <x v="0"/>
    <x v="17"/>
    <x v="0"/>
    <n v="51848"/>
    <n v="260"/>
    <n v="52108"/>
    <n v="54.1"/>
  </r>
  <r>
    <x v="18"/>
    <x v="0"/>
    <x v="2"/>
    <x v="18"/>
    <x v="1"/>
    <n v="56070"/>
    <n v="107"/>
    <n v="56177"/>
    <n v="47.45"/>
  </r>
  <r>
    <x v="19"/>
    <x v="0"/>
    <x v="0"/>
    <x v="19"/>
    <x v="1"/>
    <n v="38932"/>
    <n v="61"/>
    <n v="38993"/>
    <n v="54.79"/>
  </r>
  <r>
    <x v="20"/>
    <x v="0"/>
    <x v="3"/>
    <x v="20"/>
    <x v="1"/>
    <n v="58041"/>
    <n v="79"/>
    <n v="58120"/>
    <n v="68.8"/>
  </r>
  <r>
    <x v="21"/>
    <x v="0"/>
    <x v="3"/>
    <x v="21"/>
    <x v="1"/>
    <n v="56932"/>
    <n v="72"/>
    <n v="57004"/>
    <n v="58"/>
  </r>
  <r>
    <x v="22"/>
    <x v="0"/>
    <x v="2"/>
    <x v="22"/>
    <x v="1"/>
    <n v="52153"/>
    <n v="144"/>
    <n v="52297"/>
    <n v="50.88"/>
  </r>
  <r>
    <x v="23"/>
    <x v="0"/>
    <x v="2"/>
    <x v="23"/>
    <x v="0"/>
    <n v="57364"/>
    <n v="201"/>
    <n v="57565"/>
    <n v="52.64"/>
  </r>
  <r>
    <x v="24"/>
    <x v="0"/>
    <x v="3"/>
    <x v="24"/>
    <x v="0"/>
    <n v="51824"/>
    <n v="195"/>
    <n v="52019"/>
    <n v="46.08"/>
  </r>
  <r>
    <x v="25"/>
    <x v="0"/>
    <x v="1"/>
    <x v="25"/>
    <x v="0"/>
    <n v="63883"/>
    <n v="249"/>
    <n v="64132"/>
    <n v="55.86"/>
  </r>
  <r>
    <x v="26"/>
    <x v="0"/>
    <x v="1"/>
    <x v="26"/>
    <x v="0"/>
    <n v="49608"/>
    <n v="571"/>
    <n v="50179"/>
    <n v="48.7"/>
  </r>
  <r>
    <x v="27"/>
    <x v="0"/>
    <x v="0"/>
    <x v="27"/>
    <x v="1"/>
    <n v="51955"/>
    <n v="179"/>
    <n v="52134"/>
    <n v="54.02"/>
  </r>
  <r>
    <x v="28"/>
    <x v="0"/>
    <x v="3"/>
    <x v="28"/>
    <x v="0"/>
    <n v="68564"/>
    <n v="422"/>
    <n v="68986"/>
    <n v="55.27"/>
  </r>
  <r>
    <x v="29"/>
    <x v="0"/>
    <x v="1"/>
    <x v="29"/>
    <x v="0"/>
    <n v="135038"/>
    <n v="526"/>
    <n v="135564"/>
    <n v="49.54"/>
  </r>
  <r>
    <x v="30"/>
    <x v="0"/>
    <x v="3"/>
    <x v="30"/>
    <x v="0"/>
    <n v="103137"/>
    <n v="476"/>
    <n v="103613"/>
    <n v="52.84"/>
  </r>
  <r>
    <x v="31"/>
    <x v="0"/>
    <x v="1"/>
    <x v="31"/>
    <x v="0"/>
    <n v="68832"/>
    <n v="305"/>
    <n v="69137"/>
    <n v="49.56"/>
  </r>
  <r>
    <x v="32"/>
    <x v="0"/>
    <x v="2"/>
    <x v="32"/>
    <x v="0"/>
    <n v="144938"/>
    <n v="1357"/>
    <n v="146295"/>
    <n v="52.46"/>
  </r>
  <r>
    <x v="33"/>
    <x v="0"/>
    <x v="0"/>
    <x v="33"/>
    <x v="0"/>
    <n v="100058"/>
    <n v="1650"/>
    <n v="101708"/>
    <n v="56.4"/>
  </r>
  <r>
    <x v="34"/>
    <x v="0"/>
    <x v="0"/>
    <x v="34"/>
    <x v="0"/>
    <n v="64587"/>
    <n v="364"/>
    <n v="64951"/>
    <n v="49.77"/>
  </r>
  <r>
    <x v="35"/>
    <x v="0"/>
    <x v="3"/>
    <x v="35"/>
    <x v="0"/>
    <n v="81589"/>
    <n v="457"/>
    <n v="82046"/>
    <n v="50.45"/>
  </r>
  <r>
    <x v="36"/>
    <x v="0"/>
    <x v="2"/>
    <x v="36"/>
    <x v="1"/>
    <n v="22140"/>
    <n v="51"/>
    <n v="22191"/>
    <n v="46.76"/>
  </r>
  <r>
    <x v="37"/>
    <x v="0"/>
    <x v="3"/>
    <x v="37"/>
    <x v="0"/>
    <n v="46391"/>
    <n v="280"/>
    <n v="46671"/>
    <n v="48.01"/>
  </r>
  <r>
    <x v="38"/>
    <x v="0"/>
    <x v="0"/>
    <x v="38"/>
    <x v="0"/>
    <n v="29878"/>
    <n v="210"/>
    <n v="30088"/>
    <n v="48.82"/>
  </r>
  <r>
    <x v="39"/>
    <x v="0"/>
    <x v="3"/>
    <x v="39"/>
    <x v="0"/>
    <n v="38675"/>
    <n v="184"/>
    <n v="38859"/>
    <n v="45.44"/>
  </r>
  <r>
    <x v="40"/>
    <x v="0"/>
    <x v="0"/>
    <x v="40"/>
    <x v="0"/>
    <n v="37896"/>
    <n v="171"/>
    <n v="38067"/>
    <n v="45.06"/>
  </r>
  <r>
    <x v="41"/>
    <x v="0"/>
    <x v="1"/>
    <x v="41"/>
    <x v="0"/>
    <n v="39216"/>
    <n v="348"/>
    <n v="39564"/>
    <n v="46.53"/>
  </r>
  <r>
    <x v="42"/>
    <x v="0"/>
    <x v="3"/>
    <x v="42"/>
    <x v="0"/>
    <n v="42965"/>
    <n v="295"/>
    <n v="43260"/>
    <n v="56.55"/>
  </r>
  <r>
    <x v="43"/>
    <x v="0"/>
    <x v="3"/>
    <x v="43"/>
    <x v="0"/>
    <n v="48022"/>
    <n v="327"/>
    <n v="48349"/>
    <n v="41.67"/>
  </r>
  <r>
    <x v="44"/>
    <x v="0"/>
    <x v="3"/>
    <x v="44"/>
    <x v="0"/>
    <n v="80128"/>
    <n v="341"/>
    <n v="80469"/>
    <n v="48.98"/>
  </r>
  <r>
    <x v="45"/>
    <x v="0"/>
    <x v="0"/>
    <x v="45"/>
    <x v="1"/>
    <n v="86774"/>
    <n v="115"/>
    <n v="86889"/>
    <n v="55.09"/>
  </r>
  <r>
    <x v="46"/>
    <x v="0"/>
    <x v="3"/>
    <x v="46"/>
    <x v="1"/>
    <n v="46122"/>
    <n v="163"/>
    <n v="46285"/>
    <n v="47.62"/>
  </r>
  <r>
    <x v="47"/>
    <x v="0"/>
    <x v="3"/>
    <x v="47"/>
    <x v="0"/>
    <n v="53980"/>
    <n v="69"/>
    <n v="54049"/>
    <n v="42.99"/>
  </r>
  <r>
    <x v="48"/>
    <x v="0"/>
    <x v="1"/>
    <x v="48"/>
    <x v="0"/>
    <n v="49370"/>
    <n v="224"/>
    <n v="49594"/>
    <n v="47.74"/>
  </r>
  <r>
    <x v="49"/>
    <x v="0"/>
    <x v="0"/>
    <x v="49"/>
    <x v="1"/>
    <n v="52058"/>
    <n v="96"/>
    <n v="52154"/>
    <n v="48.8"/>
  </r>
  <r>
    <x v="50"/>
    <x v="0"/>
    <x v="2"/>
    <x v="50"/>
    <x v="1"/>
    <n v="62073"/>
    <n v="82"/>
    <n v="62155"/>
    <n v="54.08"/>
  </r>
  <r>
    <x v="51"/>
    <x v="0"/>
    <x v="4"/>
    <x v="51"/>
    <x v="1"/>
    <n v="112809"/>
    <n v="182"/>
    <n v="112991"/>
    <n v="54.3"/>
  </r>
  <r>
    <x v="52"/>
    <x v="0"/>
    <x v="3"/>
    <x v="52"/>
    <x v="1"/>
    <n v="88751"/>
    <n v="192"/>
    <n v="88943"/>
    <n v="42.45"/>
  </r>
  <r>
    <x v="53"/>
    <x v="0"/>
    <x v="2"/>
    <x v="53"/>
    <x v="0"/>
    <n v="58029"/>
    <n v="188"/>
    <n v="58217"/>
    <n v="46.1"/>
  </r>
  <r>
    <x v="54"/>
    <x v="0"/>
    <x v="0"/>
    <x v="54"/>
    <x v="1"/>
    <n v="61609"/>
    <n v="183"/>
    <n v="61792"/>
    <n v="48"/>
  </r>
  <r>
    <x v="55"/>
    <x v="0"/>
    <x v="2"/>
    <x v="55"/>
    <x v="0"/>
    <n v="73696"/>
    <n v="364"/>
    <n v="74060"/>
    <n v="53.41"/>
  </r>
  <r>
    <x v="56"/>
    <x v="0"/>
    <x v="3"/>
    <x v="56"/>
    <x v="0"/>
    <n v="65560"/>
    <n v="298"/>
    <n v="65858"/>
    <n v="52.11"/>
  </r>
  <r>
    <x v="57"/>
    <x v="0"/>
    <x v="3"/>
    <x v="57"/>
    <x v="0"/>
    <n v="71672"/>
    <n v="469"/>
    <n v="72141"/>
    <n v="57.7"/>
  </r>
  <r>
    <x v="58"/>
    <x v="0"/>
    <x v="3"/>
    <x v="58"/>
    <x v="0"/>
    <n v="75623"/>
    <n v="299"/>
    <n v="75922"/>
    <n v="52.94"/>
  </r>
  <r>
    <x v="59"/>
    <x v="0"/>
    <x v="3"/>
    <x v="59"/>
    <x v="0"/>
    <n v="56665"/>
    <n v="193"/>
    <n v="56858"/>
    <n v="53.94"/>
  </r>
  <r>
    <x v="60"/>
    <x v="0"/>
    <x v="2"/>
    <x v="60"/>
    <x v="0"/>
    <n v="62477"/>
    <n v="311"/>
    <n v="62788"/>
    <n v="49.63"/>
  </r>
  <r>
    <x v="61"/>
    <x v="0"/>
    <x v="2"/>
    <x v="61"/>
    <x v="1"/>
    <n v="66186"/>
    <n v="167"/>
    <n v="66353"/>
    <n v="48.45"/>
  </r>
  <r>
    <x v="62"/>
    <x v="0"/>
    <x v="0"/>
    <x v="62"/>
    <x v="0"/>
    <n v="82299"/>
    <n v="597"/>
    <n v="82896"/>
    <n v="57.44"/>
  </r>
  <r>
    <x v="63"/>
    <x v="0"/>
    <x v="1"/>
    <x v="63"/>
    <x v="1"/>
    <n v="78866"/>
    <n v="143"/>
    <n v="79009"/>
    <n v="59.21"/>
  </r>
  <r>
    <x v="64"/>
    <x v="0"/>
    <x v="3"/>
    <x v="64"/>
    <x v="0"/>
    <n v="79706"/>
    <n v="281"/>
    <n v="79987"/>
    <n v="56.96"/>
  </r>
  <r>
    <x v="65"/>
    <x v="0"/>
    <x v="0"/>
    <x v="65"/>
    <x v="1"/>
    <n v="76031"/>
    <n v="161"/>
    <n v="76192"/>
    <n v="53.19"/>
  </r>
  <r>
    <x v="66"/>
    <x v="0"/>
    <x v="2"/>
    <x v="66"/>
    <x v="1"/>
    <n v="80086"/>
    <n v="418"/>
    <n v="80504"/>
    <n v="48.48"/>
  </r>
  <r>
    <x v="67"/>
    <x v="0"/>
    <x v="2"/>
    <x v="67"/>
    <x v="0"/>
    <n v="84888"/>
    <n v="327"/>
    <n v="85215"/>
    <n v="42.36"/>
  </r>
  <r>
    <x v="68"/>
    <x v="0"/>
    <x v="0"/>
    <x v="68"/>
    <x v="0"/>
    <n v="106963"/>
    <n v="404"/>
    <n v="107367"/>
    <n v="53.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C0E935-E746-4E45-9CBB-53E3464316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of Candidates">
  <location ref="A3:C1364" firstHeaderRow="0" firstDataRow="1" firstDataCol="1" rowPageCount="1" colPageCount="1"/>
  <pivotFields count="8">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Row"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48"/>
        <item x="29"/>
        <item x="99"/>
        <item x="73"/>
        <item x="90"/>
        <item x="13"/>
        <item x="1"/>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showAll="0"/>
    <pivotField showAll="0"/>
    <pivotField dataField="1" showAll="0"/>
    <pivotField showAll="0"/>
    <pivotField axis="axisPage" multipleItemSelectionAllowe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count="2">
    <field x="1"/>
    <field x="2"/>
  </rowFields>
  <rowItems count="1361">
    <i>
      <x/>
    </i>
    <i r="1">
      <x v="1"/>
    </i>
    <i>
      <x v="1"/>
    </i>
    <i r="1">
      <x v="34"/>
    </i>
    <i>
      <x v="2"/>
    </i>
    <i r="1">
      <x v="52"/>
    </i>
    <i>
      <x v="3"/>
    </i>
    <i r="1">
      <x v="1"/>
    </i>
    <i>
      <x v="4"/>
    </i>
    <i r="1">
      <x v="53"/>
    </i>
    <i>
      <x v="5"/>
    </i>
    <i r="1">
      <x v="23"/>
    </i>
    <i>
      <x v="6"/>
    </i>
    <i r="1">
      <x v="36"/>
    </i>
    <i>
      <x v="7"/>
    </i>
    <i r="1">
      <x v="34"/>
    </i>
    <i>
      <x v="8"/>
    </i>
    <i r="1">
      <x v="55"/>
    </i>
    <i r="1">
      <x v="66"/>
    </i>
    <i>
      <x v="9"/>
    </i>
    <i r="1">
      <x v="53"/>
    </i>
    <i>
      <x v="10"/>
    </i>
    <i r="1">
      <x v="83"/>
    </i>
    <i>
      <x v="11"/>
    </i>
    <i r="1">
      <x/>
    </i>
    <i>
      <x v="12"/>
    </i>
    <i r="1">
      <x v="53"/>
    </i>
    <i>
      <x v="13"/>
    </i>
    <i r="1">
      <x v="1"/>
    </i>
    <i>
      <x v="14"/>
    </i>
    <i r="1">
      <x v="66"/>
    </i>
    <i>
      <x v="15"/>
    </i>
    <i r="1">
      <x v="71"/>
    </i>
    <i>
      <x v="16"/>
    </i>
    <i r="1">
      <x v="73"/>
    </i>
    <i>
      <x v="17"/>
    </i>
    <i r="1">
      <x v="52"/>
    </i>
    <i>
      <x v="18"/>
    </i>
    <i r="1">
      <x v="34"/>
    </i>
    <i>
      <x v="19"/>
    </i>
    <i r="1">
      <x v="52"/>
    </i>
    <i>
      <x v="20"/>
    </i>
    <i r="1">
      <x v="1"/>
    </i>
    <i>
      <x v="21"/>
    </i>
    <i r="1">
      <x v="39"/>
    </i>
    <i>
      <x v="22"/>
    </i>
    <i r="1">
      <x v="1"/>
    </i>
    <i>
      <x v="23"/>
    </i>
    <i r="1">
      <x v="53"/>
    </i>
    <i>
      <x v="24"/>
    </i>
    <i r="1">
      <x v="53"/>
    </i>
    <i>
      <x v="25"/>
    </i>
    <i r="1">
      <x v="53"/>
    </i>
    <i>
      <x v="26"/>
    </i>
    <i r="1">
      <x v="52"/>
    </i>
    <i>
      <x v="27"/>
    </i>
    <i r="1">
      <x v="52"/>
    </i>
    <i>
      <x v="28"/>
    </i>
    <i r="1">
      <x v="1"/>
    </i>
    <i>
      <x v="29"/>
    </i>
    <i r="1">
      <x v="52"/>
    </i>
    <i>
      <x v="30"/>
    </i>
    <i r="1">
      <x v="23"/>
    </i>
    <i>
      <x v="31"/>
    </i>
    <i r="1">
      <x v="53"/>
    </i>
    <i>
      <x v="32"/>
    </i>
    <i r="1">
      <x v="46"/>
    </i>
    <i>
      <x v="33"/>
    </i>
    <i r="1">
      <x v="96"/>
    </i>
    <i>
      <x v="34"/>
    </i>
    <i r="1">
      <x v="56"/>
    </i>
    <i>
      <x v="35"/>
    </i>
    <i r="1">
      <x v="23"/>
    </i>
    <i>
      <x v="36"/>
    </i>
    <i r="1">
      <x v="52"/>
    </i>
    <i>
      <x v="37"/>
    </i>
    <i r="1">
      <x v="52"/>
    </i>
    <i>
      <x v="38"/>
    </i>
    <i r="1">
      <x v="53"/>
    </i>
    <i>
      <x v="39"/>
    </i>
    <i r="1">
      <x v="1"/>
    </i>
    <i>
      <x v="40"/>
    </i>
    <i r="1">
      <x v="58"/>
    </i>
    <i>
      <x v="41"/>
    </i>
    <i r="1">
      <x v="8"/>
    </i>
    <i r="1">
      <x v="38"/>
    </i>
    <i r="1">
      <x v="53"/>
    </i>
    <i r="1">
      <x v="65"/>
    </i>
    <i>
      <x v="42"/>
    </i>
    <i r="1">
      <x v="34"/>
    </i>
    <i>
      <x v="43"/>
    </i>
    <i r="1">
      <x v="34"/>
    </i>
    <i>
      <x v="44"/>
    </i>
    <i r="1">
      <x v="46"/>
    </i>
    <i>
      <x v="45"/>
    </i>
    <i r="1">
      <x v="34"/>
    </i>
    <i>
      <x v="46"/>
    </i>
    <i r="1">
      <x v="96"/>
    </i>
    <i>
      <x v="47"/>
    </i>
    <i r="1">
      <x v="91"/>
    </i>
    <i>
      <x v="48"/>
    </i>
    <i r="1">
      <x v="52"/>
    </i>
    <i>
      <x v="49"/>
    </i>
    <i r="1">
      <x v="18"/>
    </i>
    <i>
      <x v="50"/>
    </i>
    <i r="1">
      <x v="1"/>
    </i>
    <i>
      <x v="51"/>
    </i>
    <i r="1">
      <x v="52"/>
    </i>
    <i>
      <x v="52"/>
    </i>
    <i r="1">
      <x v="52"/>
    </i>
    <i>
      <x v="53"/>
    </i>
    <i r="1">
      <x v="100"/>
    </i>
    <i>
      <x v="54"/>
    </i>
    <i r="1">
      <x v="53"/>
    </i>
    <i>
      <x v="55"/>
    </i>
    <i r="1">
      <x v="53"/>
    </i>
    <i>
      <x v="56"/>
    </i>
    <i r="1">
      <x v="51"/>
    </i>
    <i>
      <x v="57"/>
    </i>
    <i r="1">
      <x v="52"/>
    </i>
    <i>
      <x v="58"/>
    </i>
    <i r="1">
      <x v="47"/>
    </i>
    <i>
      <x v="59"/>
    </i>
    <i r="1">
      <x v="53"/>
    </i>
    <i>
      <x v="60"/>
    </i>
    <i r="1">
      <x v="1"/>
    </i>
    <i>
      <x v="61"/>
    </i>
    <i r="1">
      <x v="8"/>
    </i>
    <i>
      <x v="62"/>
    </i>
    <i r="1">
      <x v="83"/>
    </i>
    <i>
      <x v="63"/>
    </i>
    <i r="1">
      <x v="34"/>
    </i>
    <i>
      <x v="64"/>
    </i>
    <i r="1">
      <x v="29"/>
    </i>
    <i>
      <x v="65"/>
    </i>
    <i r="1">
      <x v="89"/>
    </i>
    <i>
      <x v="66"/>
    </i>
    <i r="1">
      <x v="99"/>
    </i>
    <i>
      <x v="67"/>
    </i>
    <i r="1">
      <x v="52"/>
    </i>
    <i>
      <x v="68"/>
    </i>
    <i r="1">
      <x v="34"/>
    </i>
    <i r="1">
      <x v="52"/>
    </i>
    <i>
      <x v="69"/>
    </i>
    <i r="1">
      <x v="45"/>
    </i>
    <i>
      <x v="70"/>
    </i>
    <i r="1">
      <x v="52"/>
    </i>
    <i>
      <x v="71"/>
    </i>
    <i r="1">
      <x v="52"/>
    </i>
    <i>
      <x v="72"/>
    </i>
    <i r="1">
      <x v="34"/>
    </i>
    <i>
      <x v="73"/>
    </i>
    <i r="1">
      <x v="106"/>
    </i>
    <i>
      <x v="74"/>
    </i>
    <i r="1">
      <x v="52"/>
    </i>
    <i>
      <x v="75"/>
    </i>
    <i r="1">
      <x v="8"/>
    </i>
    <i r="1">
      <x v="23"/>
    </i>
    <i r="1">
      <x v="52"/>
    </i>
    <i>
      <x v="76"/>
    </i>
    <i r="1">
      <x v="23"/>
    </i>
    <i>
      <x v="77"/>
    </i>
    <i r="1">
      <x v="52"/>
    </i>
    <i>
      <x v="78"/>
    </i>
    <i r="1">
      <x v="53"/>
    </i>
    <i>
      <x v="79"/>
    </i>
    <i r="1">
      <x v="23"/>
    </i>
    <i>
      <x v="80"/>
    </i>
    <i r="1">
      <x v="1"/>
    </i>
    <i>
      <x v="81"/>
    </i>
    <i r="1">
      <x v="101"/>
    </i>
    <i>
      <x v="82"/>
    </i>
    <i r="1">
      <x v="1"/>
    </i>
    <i>
      <x v="83"/>
    </i>
    <i r="1">
      <x v="23"/>
    </i>
    <i>
      <x v="84"/>
    </i>
    <i r="1">
      <x v="91"/>
    </i>
    <i>
      <x v="85"/>
    </i>
    <i r="1">
      <x v="73"/>
    </i>
    <i>
      <x v="86"/>
    </i>
    <i r="1">
      <x v="52"/>
    </i>
    <i>
      <x v="87"/>
    </i>
    <i r="1">
      <x v="1"/>
    </i>
    <i>
      <x v="88"/>
    </i>
    <i r="1">
      <x v="18"/>
    </i>
    <i r="1">
      <x v="106"/>
    </i>
    <i>
      <x v="89"/>
    </i>
    <i r="1">
      <x v="29"/>
    </i>
    <i r="1">
      <x v="52"/>
    </i>
    <i>
      <x v="90"/>
    </i>
    <i r="1">
      <x v="63"/>
    </i>
    <i>
      <x v="91"/>
    </i>
    <i r="1">
      <x v="34"/>
    </i>
    <i>
      <x v="92"/>
    </i>
    <i r="1">
      <x v="52"/>
    </i>
    <i>
      <x v="93"/>
    </i>
    <i r="1">
      <x v="1"/>
    </i>
    <i>
      <x v="94"/>
    </i>
    <i r="1">
      <x v="52"/>
    </i>
    <i>
      <x v="95"/>
    </i>
    <i r="1">
      <x v="73"/>
    </i>
    <i>
      <x v="96"/>
    </i>
    <i r="1">
      <x v="40"/>
    </i>
    <i>
      <x v="97"/>
    </i>
    <i r="1">
      <x v="52"/>
    </i>
    <i>
      <x v="98"/>
    </i>
    <i r="1">
      <x v="103"/>
    </i>
    <i>
      <x v="99"/>
    </i>
    <i r="1">
      <x v="53"/>
    </i>
    <i>
      <x v="100"/>
    </i>
    <i r="1">
      <x v="58"/>
    </i>
    <i>
      <x v="101"/>
    </i>
    <i r="1">
      <x v="34"/>
    </i>
    <i>
      <x v="102"/>
    </i>
    <i r="1">
      <x v="51"/>
    </i>
    <i>
      <x v="103"/>
    </i>
    <i r="1">
      <x v="56"/>
    </i>
    <i>
      <x v="104"/>
    </i>
    <i r="1">
      <x v="23"/>
    </i>
    <i>
      <x v="105"/>
    </i>
    <i r="1">
      <x v="30"/>
    </i>
    <i>
      <x v="106"/>
    </i>
    <i r="1">
      <x v="1"/>
    </i>
    <i>
      <x v="107"/>
    </i>
    <i r="1">
      <x v="23"/>
    </i>
    <i>
      <x v="108"/>
    </i>
    <i r="1">
      <x v="29"/>
    </i>
    <i>
      <x v="109"/>
    </i>
    <i r="1">
      <x v="52"/>
    </i>
    <i>
      <x v="110"/>
    </i>
    <i r="1">
      <x v="59"/>
    </i>
    <i>
      <x v="111"/>
    </i>
    <i r="1">
      <x v="73"/>
    </i>
    <i>
      <x v="112"/>
    </i>
    <i r="1">
      <x v="4"/>
    </i>
    <i>
      <x v="113"/>
    </i>
    <i r="1">
      <x v="34"/>
    </i>
    <i>
      <x v="114"/>
    </i>
    <i r="1">
      <x v="52"/>
    </i>
    <i>
      <x v="115"/>
    </i>
    <i r="1">
      <x v="91"/>
    </i>
    <i>
      <x v="116"/>
    </i>
    <i r="1">
      <x v="23"/>
    </i>
    <i>
      <x v="117"/>
    </i>
    <i r="1">
      <x v="1"/>
    </i>
    <i>
      <x v="118"/>
    </i>
    <i r="1">
      <x v="23"/>
    </i>
    <i>
      <x v="119"/>
    </i>
    <i r="1">
      <x v="53"/>
    </i>
    <i>
      <x v="120"/>
    </i>
    <i r="1">
      <x v="76"/>
    </i>
    <i>
      <x v="121"/>
    </i>
    <i r="1">
      <x v="8"/>
    </i>
    <i>
      <x v="122"/>
    </i>
    <i r="1">
      <x v="52"/>
    </i>
    <i>
      <x v="123"/>
    </i>
    <i r="1">
      <x v="11"/>
    </i>
    <i>
      <x v="124"/>
    </i>
    <i r="1">
      <x v="89"/>
    </i>
    <i>
      <x v="125"/>
    </i>
    <i r="1">
      <x v="20"/>
    </i>
    <i>
      <x v="126"/>
    </i>
    <i r="1">
      <x v="23"/>
    </i>
    <i r="1">
      <x v="27"/>
    </i>
    <i r="1">
      <x v="52"/>
    </i>
    <i>
      <x v="127"/>
    </i>
    <i r="1">
      <x v="62"/>
    </i>
    <i>
      <x v="128"/>
    </i>
    <i r="1">
      <x v="52"/>
    </i>
    <i>
      <x v="129"/>
    </i>
    <i r="1">
      <x v="1"/>
    </i>
    <i>
      <x v="130"/>
    </i>
    <i r="1">
      <x v="61"/>
    </i>
    <i>
      <x v="131"/>
    </i>
    <i r="1">
      <x v="34"/>
    </i>
    <i>
      <x v="132"/>
    </i>
    <i r="1">
      <x v="44"/>
    </i>
    <i>
      <x v="133"/>
    </i>
    <i r="1">
      <x v="52"/>
    </i>
    <i>
      <x v="134"/>
    </i>
    <i r="1">
      <x v="53"/>
    </i>
    <i>
      <x v="135"/>
    </i>
    <i r="1">
      <x v="23"/>
    </i>
    <i>
      <x v="136"/>
    </i>
    <i r="1">
      <x v="84"/>
    </i>
    <i>
      <x v="137"/>
    </i>
    <i r="1">
      <x v="30"/>
    </i>
    <i>
      <x v="138"/>
    </i>
    <i r="1">
      <x v="53"/>
    </i>
    <i>
      <x v="139"/>
    </i>
    <i r="1">
      <x v="1"/>
    </i>
    <i>
      <x v="140"/>
    </i>
    <i r="1">
      <x v="100"/>
    </i>
    <i>
      <x v="141"/>
    </i>
    <i r="1">
      <x v="53"/>
    </i>
    <i>
      <x v="142"/>
    </i>
    <i r="1">
      <x v="52"/>
    </i>
    <i>
      <x v="143"/>
    </i>
    <i r="1">
      <x v="73"/>
    </i>
    <i>
      <x v="144"/>
    </i>
    <i r="1">
      <x v="52"/>
    </i>
    <i>
      <x v="145"/>
    </i>
    <i r="1">
      <x v="23"/>
    </i>
    <i>
      <x v="146"/>
    </i>
    <i r="1">
      <x v="73"/>
    </i>
    <i>
      <x v="147"/>
    </i>
    <i r="1">
      <x v="91"/>
    </i>
    <i>
      <x v="148"/>
    </i>
    <i r="1">
      <x v="52"/>
    </i>
    <i>
      <x v="149"/>
    </i>
    <i r="1">
      <x v="52"/>
    </i>
    <i>
      <x v="150"/>
    </i>
    <i r="1">
      <x v="44"/>
    </i>
    <i>
      <x v="151"/>
    </i>
    <i r="1">
      <x v="52"/>
    </i>
    <i>
      <x v="152"/>
    </i>
    <i r="1">
      <x v="52"/>
    </i>
    <i>
      <x v="153"/>
    </i>
    <i r="1">
      <x v="1"/>
    </i>
    <i>
      <x v="154"/>
    </i>
    <i r="1">
      <x v="6"/>
    </i>
    <i>
      <x v="155"/>
    </i>
    <i r="1">
      <x v="34"/>
    </i>
    <i>
      <x v="156"/>
    </i>
    <i r="1">
      <x v="52"/>
    </i>
    <i>
      <x v="157"/>
    </i>
    <i r="1">
      <x v="1"/>
    </i>
    <i>
      <x v="158"/>
    </i>
    <i r="1">
      <x v="106"/>
    </i>
    <i>
      <x v="159"/>
    </i>
    <i r="1">
      <x v="28"/>
    </i>
    <i>
      <x v="160"/>
    </i>
    <i r="1">
      <x v="53"/>
    </i>
    <i>
      <x v="161"/>
    </i>
    <i r="1">
      <x v="60"/>
    </i>
    <i>
      <x v="162"/>
    </i>
    <i r="1">
      <x v="1"/>
    </i>
    <i>
      <x v="163"/>
    </i>
    <i r="1">
      <x v="34"/>
    </i>
    <i>
      <x v="164"/>
    </i>
    <i r="1">
      <x v="106"/>
    </i>
    <i>
      <x v="165"/>
    </i>
    <i r="1">
      <x v="53"/>
    </i>
    <i>
      <x v="166"/>
    </i>
    <i r="1">
      <x v="32"/>
    </i>
    <i>
      <x v="167"/>
    </i>
    <i r="1">
      <x v="52"/>
    </i>
    <i>
      <x v="168"/>
    </i>
    <i r="1">
      <x v="72"/>
    </i>
    <i>
      <x v="169"/>
    </i>
    <i r="1">
      <x v="34"/>
    </i>
    <i>
      <x v="170"/>
    </i>
    <i r="1">
      <x v="34"/>
    </i>
    <i>
      <x v="171"/>
    </i>
    <i r="1">
      <x v="8"/>
    </i>
    <i>
      <x v="172"/>
    </i>
    <i r="1">
      <x v="23"/>
    </i>
    <i>
      <x v="173"/>
    </i>
    <i r="1">
      <x v="53"/>
    </i>
    <i>
      <x v="174"/>
    </i>
    <i r="1">
      <x v="1"/>
    </i>
    <i r="1">
      <x v="52"/>
    </i>
    <i>
      <x v="175"/>
    </i>
    <i r="1">
      <x v="52"/>
    </i>
    <i>
      <x v="176"/>
    </i>
    <i r="1">
      <x v="52"/>
    </i>
    <i>
      <x v="177"/>
    </i>
    <i r="1">
      <x v="23"/>
    </i>
    <i>
      <x v="178"/>
    </i>
    <i r="1">
      <x v="29"/>
    </i>
    <i>
      <x v="179"/>
    </i>
    <i r="1">
      <x v="47"/>
    </i>
    <i>
      <x v="180"/>
    </i>
    <i r="1">
      <x v="1"/>
    </i>
    <i>
      <x v="181"/>
    </i>
    <i r="1">
      <x v="91"/>
    </i>
    <i>
      <x v="182"/>
    </i>
    <i r="1">
      <x v="41"/>
    </i>
    <i>
      <x v="183"/>
    </i>
    <i r="1">
      <x v="52"/>
    </i>
    <i>
      <x v="184"/>
    </i>
    <i r="1">
      <x v="91"/>
    </i>
    <i>
      <x v="185"/>
    </i>
    <i r="1">
      <x v="53"/>
    </i>
    <i>
      <x v="186"/>
    </i>
    <i r="1">
      <x v="55"/>
    </i>
    <i>
      <x v="187"/>
    </i>
    <i r="1">
      <x v="98"/>
    </i>
    <i>
      <x v="188"/>
    </i>
    <i r="1">
      <x v="52"/>
    </i>
    <i>
      <x v="189"/>
    </i>
    <i r="1">
      <x v="52"/>
    </i>
    <i>
      <x v="190"/>
    </i>
    <i r="1">
      <x v="52"/>
    </i>
    <i>
      <x v="191"/>
    </i>
    <i r="1">
      <x v="53"/>
    </i>
    <i>
      <x v="192"/>
    </i>
    <i r="1">
      <x v="53"/>
    </i>
    <i>
      <x v="193"/>
    </i>
    <i r="1">
      <x v="52"/>
    </i>
    <i>
      <x v="194"/>
    </i>
    <i r="1">
      <x v="81"/>
    </i>
    <i>
      <x v="195"/>
    </i>
    <i r="1">
      <x v="52"/>
    </i>
    <i>
      <x v="196"/>
    </i>
    <i r="1">
      <x v="34"/>
    </i>
    <i>
      <x v="197"/>
    </i>
    <i r="1">
      <x v="53"/>
    </i>
    <i>
      <x v="198"/>
    </i>
    <i r="1">
      <x v="53"/>
    </i>
    <i>
      <x v="199"/>
    </i>
    <i r="1">
      <x v="23"/>
    </i>
    <i>
      <x v="200"/>
    </i>
    <i r="1">
      <x v="23"/>
    </i>
    <i>
      <x v="201"/>
    </i>
    <i r="1">
      <x v="23"/>
    </i>
    <i>
      <x v="202"/>
    </i>
    <i r="1">
      <x v="52"/>
    </i>
    <i>
      <x v="203"/>
    </i>
    <i r="1">
      <x v="1"/>
    </i>
    <i>
      <x v="204"/>
    </i>
    <i r="1">
      <x v="66"/>
    </i>
    <i>
      <x v="205"/>
    </i>
    <i r="1">
      <x v="52"/>
    </i>
    <i>
      <x v="206"/>
    </i>
    <i r="1">
      <x v="31"/>
    </i>
    <i>
      <x v="207"/>
    </i>
    <i r="1">
      <x v="53"/>
    </i>
    <i>
      <x v="208"/>
    </i>
    <i r="1">
      <x v="8"/>
    </i>
    <i>
      <x v="209"/>
    </i>
    <i r="1">
      <x v="52"/>
    </i>
    <i>
      <x v="210"/>
    </i>
    <i r="1">
      <x v="104"/>
    </i>
    <i>
      <x v="211"/>
    </i>
    <i r="1">
      <x v="53"/>
    </i>
    <i>
      <x v="212"/>
    </i>
    <i r="1">
      <x v="53"/>
    </i>
    <i>
      <x v="213"/>
    </i>
    <i r="1">
      <x v="93"/>
    </i>
    <i>
      <x v="214"/>
    </i>
    <i r="1">
      <x v="66"/>
    </i>
    <i>
      <x v="215"/>
    </i>
    <i r="1">
      <x v="52"/>
    </i>
    <i>
      <x v="216"/>
    </i>
    <i r="1">
      <x v="45"/>
    </i>
    <i>
      <x v="217"/>
    </i>
    <i r="1">
      <x v="52"/>
    </i>
    <i>
      <x v="218"/>
    </i>
    <i r="1">
      <x v="52"/>
    </i>
    <i>
      <x v="219"/>
    </i>
    <i r="1">
      <x v="52"/>
    </i>
    <i>
      <x v="220"/>
    </i>
    <i r="1">
      <x v="1"/>
    </i>
    <i>
      <x v="221"/>
    </i>
    <i r="1">
      <x v="53"/>
    </i>
    <i>
      <x v="222"/>
    </i>
    <i r="1">
      <x v="52"/>
    </i>
    <i>
      <x v="223"/>
    </i>
    <i r="1">
      <x v="53"/>
    </i>
    <i>
      <x v="224"/>
    </i>
    <i r="1">
      <x v="74"/>
    </i>
    <i>
      <x v="225"/>
    </i>
    <i r="1">
      <x v="43"/>
    </i>
    <i>
      <x v="226"/>
    </i>
    <i r="1">
      <x v="1"/>
    </i>
    <i>
      <x v="227"/>
    </i>
    <i r="1">
      <x v="1"/>
    </i>
    <i>
      <x v="228"/>
    </i>
    <i r="1">
      <x v="96"/>
    </i>
    <i>
      <x v="229"/>
    </i>
    <i r="1">
      <x v="18"/>
    </i>
    <i>
      <x v="230"/>
    </i>
    <i r="1">
      <x v="55"/>
    </i>
    <i>
      <x v="231"/>
    </i>
    <i r="1">
      <x v="52"/>
    </i>
    <i>
      <x v="232"/>
    </i>
    <i r="1">
      <x v="53"/>
    </i>
    <i>
      <x v="233"/>
    </i>
    <i r="1">
      <x v="34"/>
    </i>
    <i>
      <x v="234"/>
    </i>
    <i r="1">
      <x v="1"/>
    </i>
    <i>
      <x v="235"/>
    </i>
    <i r="1">
      <x v="53"/>
    </i>
    <i>
      <x v="236"/>
    </i>
    <i r="1">
      <x v="1"/>
    </i>
    <i>
      <x v="237"/>
    </i>
    <i r="1">
      <x v="52"/>
    </i>
    <i>
      <x v="238"/>
    </i>
    <i r="1">
      <x v="52"/>
    </i>
    <i>
      <x v="239"/>
    </i>
    <i r="1">
      <x v="23"/>
    </i>
    <i>
      <x v="240"/>
    </i>
    <i r="1">
      <x v="34"/>
    </i>
    <i>
      <x v="241"/>
    </i>
    <i r="1">
      <x v="34"/>
    </i>
    <i>
      <x v="242"/>
    </i>
    <i r="1">
      <x v="23"/>
    </i>
    <i>
      <x v="243"/>
    </i>
    <i r="1">
      <x v="53"/>
    </i>
    <i>
      <x v="244"/>
    </i>
    <i r="1">
      <x v="34"/>
    </i>
    <i>
      <x v="245"/>
    </i>
    <i r="1">
      <x v="65"/>
    </i>
    <i>
      <x v="246"/>
    </i>
    <i r="1">
      <x v="23"/>
    </i>
    <i>
      <x v="247"/>
    </i>
    <i r="1">
      <x v="6"/>
    </i>
    <i>
      <x v="248"/>
    </i>
    <i r="1">
      <x v="23"/>
    </i>
    <i>
      <x v="249"/>
    </i>
    <i r="1">
      <x v="86"/>
    </i>
    <i>
      <x v="250"/>
    </i>
    <i r="1">
      <x v="11"/>
    </i>
    <i>
      <x v="251"/>
    </i>
    <i r="1">
      <x v="53"/>
    </i>
    <i>
      <x v="252"/>
    </i>
    <i r="1">
      <x v="34"/>
    </i>
    <i>
      <x v="253"/>
    </i>
    <i r="1">
      <x v="34"/>
    </i>
    <i>
      <x v="254"/>
    </i>
    <i r="1">
      <x v="101"/>
    </i>
    <i>
      <x v="255"/>
    </i>
    <i r="1">
      <x/>
    </i>
    <i>
      <x v="256"/>
    </i>
    <i r="1">
      <x v="34"/>
    </i>
    <i>
      <x v="257"/>
    </i>
    <i r="1">
      <x v="34"/>
    </i>
    <i>
      <x v="258"/>
    </i>
    <i r="1">
      <x v="43"/>
    </i>
    <i>
      <x v="259"/>
    </i>
    <i r="1">
      <x v="66"/>
    </i>
    <i>
      <x v="260"/>
    </i>
    <i r="1">
      <x v="24"/>
    </i>
    <i>
      <x v="261"/>
    </i>
    <i r="1">
      <x v="81"/>
    </i>
    <i>
      <x v="262"/>
    </i>
    <i r="1">
      <x v="34"/>
    </i>
    <i>
      <x v="263"/>
    </i>
    <i r="1">
      <x v="23"/>
    </i>
    <i>
      <x v="264"/>
    </i>
    <i r="1">
      <x v="53"/>
    </i>
    <i>
      <x v="265"/>
    </i>
    <i r="1">
      <x v="34"/>
    </i>
    <i>
      <x v="266"/>
    </i>
    <i r="1">
      <x v="1"/>
    </i>
    <i>
      <x v="267"/>
    </i>
    <i r="1">
      <x v="52"/>
    </i>
    <i>
      <x v="268"/>
    </i>
    <i r="1">
      <x v="34"/>
    </i>
    <i>
      <x v="269"/>
    </i>
    <i r="1">
      <x v="23"/>
    </i>
    <i r="1">
      <x v="34"/>
    </i>
    <i>
      <x v="270"/>
    </i>
    <i r="1">
      <x v="73"/>
    </i>
    <i>
      <x v="271"/>
    </i>
    <i r="1">
      <x v="23"/>
    </i>
    <i>
      <x v="272"/>
    </i>
    <i r="1">
      <x v="37"/>
    </i>
    <i>
      <x v="273"/>
    </i>
    <i r="1">
      <x v="35"/>
    </i>
    <i>
      <x v="274"/>
    </i>
    <i r="1">
      <x v="89"/>
    </i>
    <i>
      <x v="275"/>
    </i>
    <i r="1">
      <x v="9"/>
    </i>
    <i>
      <x v="276"/>
    </i>
    <i r="1">
      <x v="53"/>
    </i>
    <i>
      <x v="277"/>
    </i>
    <i r="1">
      <x v="87"/>
    </i>
    <i>
      <x v="278"/>
    </i>
    <i r="1">
      <x v="55"/>
    </i>
    <i>
      <x v="279"/>
    </i>
    <i r="1">
      <x v="14"/>
    </i>
    <i>
      <x v="280"/>
    </i>
    <i r="1">
      <x v="63"/>
    </i>
    <i>
      <x v="281"/>
    </i>
    <i r="1">
      <x v="1"/>
    </i>
    <i>
      <x v="282"/>
    </i>
    <i r="1">
      <x v="52"/>
    </i>
    <i>
      <x v="283"/>
    </i>
    <i r="1">
      <x v="85"/>
    </i>
    <i>
      <x v="284"/>
    </i>
    <i r="1">
      <x v="91"/>
    </i>
    <i>
      <x v="285"/>
    </i>
    <i r="1">
      <x v="28"/>
    </i>
    <i>
      <x v="286"/>
    </i>
    <i r="1">
      <x v="23"/>
    </i>
    <i>
      <x v="287"/>
    </i>
    <i r="1">
      <x v="1"/>
    </i>
    <i>
      <x v="288"/>
    </i>
    <i r="1">
      <x v="8"/>
    </i>
    <i>
      <x v="289"/>
    </i>
    <i r="1">
      <x v="53"/>
    </i>
    <i>
      <x v="290"/>
    </i>
    <i r="1">
      <x v="52"/>
    </i>
    <i>
      <x v="291"/>
    </i>
    <i r="1">
      <x v="53"/>
    </i>
    <i>
      <x v="292"/>
    </i>
    <i r="1">
      <x v="23"/>
    </i>
    <i>
      <x v="293"/>
    </i>
    <i r="1">
      <x v="34"/>
    </i>
    <i>
      <x v="294"/>
    </i>
    <i r="1">
      <x v="1"/>
    </i>
    <i>
      <x v="295"/>
    </i>
    <i r="1">
      <x v="56"/>
    </i>
    <i>
      <x v="296"/>
    </i>
    <i r="1">
      <x v="34"/>
    </i>
    <i>
      <x v="297"/>
    </i>
    <i r="1">
      <x v="23"/>
    </i>
    <i>
      <x v="298"/>
    </i>
    <i r="1">
      <x v="12"/>
    </i>
    <i r="1">
      <x v="52"/>
    </i>
    <i>
      <x v="299"/>
    </i>
    <i r="1">
      <x v="34"/>
    </i>
    <i>
      <x v="300"/>
    </i>
    <i r="1">
      <x v="34"/>
    </i>
    <i>
      <x v="301"/>
    </i>
    <i r="1">
      <x v="1"/>
    </i>
    <i>
      <x v="302"/>
    </i>
    <i r="1">
      <x v="73"/>
    </i>
    <i>
      <x v="303"/>
    </i>
    <i r="1">
      <x v="52"/>
    </i>
    <i>
      <x v="304"/>
    </i>
    <i r="1">
      <x v="66"/>
    </i>
    <i>
      <x v="305"/>
    </i>
    <i r="1">
      <x v="44"/>
    </i>
    <i>
      <x v="306"/>
    </i>
    <i r="1">
      <x v="8"/>
    </i>
    <i>
      <x v="307"/>
    </i>
    <i r="1">
      <x v="66"/>
    </i>
    <i>
      <x v="308"/>
    </i>
    <i r="1">
      <x v="17"/>
    </i>
    <i>
      <x v="309"/>
    </i>
    <i r="1">
      <x v="67"/>
    </i>
    <i>
      <x v="310"/>
    </i>
    <i r="1">
      <x v="28"/>
    </i>
    <i>
      <x v="311"/>
    </i>
    <i r="1">
      <x v="52"/>
    </i>
    <i>
      <x v="312"/>
    </i>
    <i r="1">
      <x v="92"/>
    </i>
    <i>
      <x v="313"/>
    </i>
    <i r="1">
      <x v="52"/>
    </i>
    <i>
      <x v="314"/>
    </i>
    <i r="1">
      <x v="52"/>
    </i>
    <i>
      <x v="315"/>
    </i>
    <i r="1">
      <x v="52"/>
    </i>
    <i>
      <x v="316"/>
    </i>
    <i r="1">
      <x v="54"/>
    </i>
    <i>
      <x v="317"/>
    </i>
    <i r="1">
      <x v="26"/>
    </i>
    <i>
      <x v="318"/>
    </i>
    <i r="1">
      <x v="34"/>
    </i>
    <i>
      <x v="319"/>
    </i>
    <i r="1">
      <x v="53"/>
    </i>
    <i>
      <x v="320"/>
    </i>
    <i r="1">
      <x v="91"/>
    </i>
    <i>
      <x v="321"/>
    </i>
    <i r="1">
      <x v="66"/>
    </i>
    <i>
      <x v="322"/>
    </i>
    <i r="1">
      <x v="89"/>
    </i>
    <i>
      <x v="323"/>
    </i>
    <i r="1">
      <x v="20"/>
    </i>
    <i>
      <x v="324"/>
    </i>
    <i r="1">
      <x v="52"/>
    </i>
    <i>
      <x v="325"/>
    </i>
    <i r="1">
      <x v="82"/>
    </i>
    <i>
      <x v="326"/>
    </i>
    <i r="1">
      <x v="23"/>
    </i>
    <i>
      <x v="327"/>
    </i>
    <i r="1">
      <x v="23"/>
    </i>
    <i>
      <x v="328"/>
    </i>
    <i r="1">
      <x v="52"/>
    </i>
    <i>
      <x v="329"/>
    </i>
    <i r="1">
      <x v="52"/>
    </i>
    <i>
      <x v="330"/>
    </i>
    <i r="1">
      <x v="15"/>
    </i>
    <i>
      <x v="331"/>
    </i>
    <i r="1">
      <x v="52"/>
    </i>
    <i>
      <x v="332"/>
    </i>
    <i r="1">
      <x v="1"/>
    </i>
    <i>
      <x v="333"/>
    </i>
    <i r="1">
      <x v="87"/>
    </i>
    <i>
      <x v="334"/>
    </i>
    <i r="1">
      <x v="52"/>
    </i>
    <i>
      <x v="335"/>
    </i>
    <i r="1">
      <x v="53"/>
    </i>
    <i>
      <x v="336"/>
    </i>
    <i r="1">
      <x v="52"/>
    </i>
    <i r="1">
      <x v="79"/>
    </i>
    <i>
      <x v="337"/>
    </i>
    <i r="1">
      <x v="23"/>
    </i>
    <i>
      <x v="338"/>
    </i>
    <i r="1">
      <x v="1"/>
    </i>
    <i>
      <x v="339"/>
    </i>
    <i r="1">
      <x v="1"/>
    </i>
    <i>
      <x v="340"/>
    </i>
    <i r="1">
      <x v="33"/>
    </i>
    <i>
      <x v="341"/>
    </i>
    <i r="1">
      <x v="53"/>
    </i>
    <i>
      <x v="342"/>
    </i>
    <i r="1">
      <x v="66"/>
    </i>
    <i>
      <x v="343"/>
    </i>
    <i r="1">
      <x v="66"/>
    </i>
    <i>
      <x v="344"/>
    </i>
    <i r="1">
      <x v="23"/>
    </i>
    <i>
      <x v="345"/>
    </i>
    <i r="1">
      <x v="23"/>
    </i>
    <i>
      <x v="346"/>
    </i>
    <i r="1">
      <x v="34"/>
    </i>
    <i>
      <x v="347"/>
    </i>
    <i r="1">
      <x v="66"/>
    </i>
    <i>
      <x v="348"/>
    </i>
    <i r="1">
      <x v="90"/>
    </i>
    <i>
      <x v="349"/>
    </i>
    <i r="1">
      <x v="52"/>
    </i>
    <i>
      <x v="350"/>
    </i>
    <i r="1">
      <x v="6"/>
    </i>
    <i r="1">
      <x v="91"/>
    </i>
    <i>
      <x v="351"/>
    </i>
    <i r="1">
      <x v="28"/>
    </i>
    <i>
      <x v="352"/>
    </i>
    <i r="1">
      <x v="88"/>
    </i>
    <i>
      <x v="353"/>
    </i>
    <i r="1">
      <x v="1"/>
    </i>
    <i>
      <x v="354"/>
    </i>
    <i r="1">
      <x v="50"/>
    </i>
    <i>
      <x v="355"/>
    </i>
    <i r="1">
      <x v="52"/>
    </i>
    <i>
      <x v="356"/>
    </i>
    <i r="1">
      <x v="34"/>
    </i>
    <i>
      <x v="357"/>
    </i>
    <i r="1">
      <x v="73"/>
    </i>
    <i>
      <x v="358"/>
    </i>
    <i r="1">
      <x v="68"/>
    </i>
    <i>
      <x v="359"/>
    </i>
    <i r="1">
      <x v="34"/>
    </i>
    <i>
      <x v="360"/>
    </i>
    <i r="1">
      <x v="106"/>
    </i>
    <i>
      <x v="361"/>
    </i>
    <i r="1">
      <x v="52"/>
    </i>
    <i>
      <x v="362"/>
    </i>
    <i r="1">
      <x v="23"/>
    </i>
    <i>
      <x v="363"/>
    </i>
    <i r="1">
      <x v="91"/>
    </i>
    <i>
      <x v="364"/>
    </i>
    <i r="1">
      <x v="65"/>
    </i>
    <i>
      <x v="365"/>
    </i>
    <i r="1">
      <x v="52"/>
    </i>
    <i>
      <x v="366"/>
    </i>
    <i r="1">
      <x v="55"/>
    </i>
    <i>
      <x v="367"/>
    </i>
    <i r="1">
      <x/>
    </i>
    <i>
      <x v="368"/>
    </i>
    <i r="1">
      <x v="52"/>
    </i>
    <i>
      <x v="369"/>
    </i>
    <i r="1">
      <x v="86"/>
    </i>
    <i>
      <x v="370"/>
    </i>
    <i r="1">
      <x v="23"/>
    </i>
    <i>
      <x v="371"/>
    </i>
    <i r="1">
      <x v="10"/>
    </i>
    <i>
      <x v="372"/>
    </i>
    <i r="1">
      <x v="69"/>
    </i>
    <i>
      <x v="373"/>
    </i>
    <i r="1">
      <x v="52"/>
    </i>
    <i>
      <x v="374"/>
    </i>
    <i r="1">
      <x v="34"/>
    </i>
    <i>
      <x v="375"/>
    </i>
    <i r="1">
      <x v="23"/>
    </i>
    <i>
      <x v="376"/>
    </i>
    <i r="1">
      <x v="97"/>
    </i>
    <i>
      <x v="377"/>
    </i>
    <i r="1">
      <x v="89"/>
    </i>
    <i>
      <x v="378"/>
    </i>
    <i r="1">
      <x v="77"/>
    </i>
    <i>
      <x v="379"/>
    </i>
    <i r="1">
      <x v="34"/>
    </i>
    <i>
      <x v="380"/>
    </i>
    <i r="1">
      <x v="52"/>
    </i>
    <i>
      <x v="381"/>
    </i>
    <i r="1">
      <x/>
    </i>
    <i>
      <x v="382"/>
    </i>
    <i r="1">
      <x v="23"/>
    </i>
    <i>
      <x v="383"/>
    </i>
    <i r="1">
      <x v="23"/>
    </i>
    <i>
      <x v="384"/>
    </i>
    <i r="1">
      <x v="1"/>
    </i>
    <i>
      <x v="385"/>
    </i>
    <i r="1">
      <x v="34"/>
    </i>
    <i>
      <x v="386"/>
    </i>
    <i r="1">
      <x v="99"/>
    </i>
    <i>
      <x v="387"/>
    </i>
    <i r="1">
      <x v="52"/>
    </i>
    <i>
      <x v="388"/>
    </i>
    <i r="1">
      <x v="94"/>
    </i>
    <i>
      <x v="389"/>
    </i>
    <i r="1">
      <x v="52"/>
    </i>
    <i>
      <x v="390"/>
    </i>
    <i r="1">
      <x v="1"/>
    </i>
    <i>
      <x v="391"/>
    </i>
    <i r="1">
      <x v="53"/>
    </i>
    <i>
      <x v="392"/>
    </i>
    <i r="1">
      <x v="34"/>
    </i>
    <i>
      <x v="393"/>
    </i>
    <i r="1">
      <x v="53"/>
    </i>
    <i>
      <x v="394"/>
    </i>
    <i r="1">
      <x v="60"/>
    </i>
    <i>
      <x v="395"/>
    </i>
    <i r="1">
      <x v="23"/>
    </i>
    <i>
      <x v="396"/>
    </i>
    <i r="1">
      <x v="34"/>
    </i>
    <i>
      <x v="397"/>
    </i>
    <i r="1">
      <x v="52"/>
    </i>
    <i>
      <x v="398"/>
    </i>
    <i r="1">
      <x v="65"/>
    </i>
    <i>
      <x v="399"/>
    </i>
    <i r="1">
      <x v="34"/>
    </i>
    <i>
      <x v="400"/>
    </i>
    <i r="1">
      <x v="1"/>
    </i>
    <i>
      <x v="401"/>
    </i>
    <i r="1">
      <x v="70"/>
    </i>
    <i>
      <x v="402"/>
    </i>
    <i r="1">
      <x v="53"/>
    </i>
    <i>
      <x v="403"/>
    </i>
    <i r="1">
      <x v="22"/>
    </i>
    <i>
      <x v="404"/>
    </i>
    <i r="1">
      <x v="40"/>
    </i>
    <i>
      <x v="405"/>
    </i>
    <i r="1">
      <x v="52"/>
    </i>
    <i>
      <x v="406"/>
    </i>
    <i r="1">
      <x v="1"/>
    </i>
    <i>
      <x v="407"/>
    </i>
    <i r="1">
      <x v="97"/>
    </i>
    <i>
      <x v="408"/>
    </i>
    <i r="1">
      <x v="52"/>
    </i>
    <i>
      <x v="409"/>
    </i>
    <i r="1">
      <x v="52"/>
    </i>
    <i>
      <x v="410"/>
    </i>
    <i r="1">
      <x v="8"/>
    </i>
    <i>
      <x v="411"/>
    </i>
    <i r="1">
      <x v="34"/>
    </i>
    <i>
      <x v="412"/>
    </i>
    <i r="1">
      <x v="1"/>
    </i>
    <i>
      <x v="413"/>
    </i>
    <i r="1">
      <x v="83"/>
    </i>
    <i>
      <x v="414"/>
    </i>
    <i r="1">
      <x v="106"/>
    </i>
    <i>
      <x v="415"/>
    </i>
    <i r="1">
      <x v="1"/>
    </i>
    <i>
      <x v="416"/>
    </i>
    <i r="1">
      <x v="53"/>
    </i>
    <i>
      <x v="417"/>
    </i>
    <i r="1">
      <x v="79"/>
    </i>
    <i>
      <x v="418"/>
    </i>
    <i r="1">
      <x v="1"/>
    </i>
    <i>
      <x v="419"/>
    </i>
    <i r="1">
      <x v="83"/>
    </i>
    <i>
      <x v="420"/>
    </i>
    <i r="1">
      <x v="23"/>
    </i>
    <i>
      <x v="421"/>
    </i>
    <i r="1">
      <x v="3"/>
    </i>
    <i>
      <x v="422"/>
    </i>
    <i r="1">
      <x v="34"/>
    </i>
    <i>
      <x v="423"/>
    </i>
    <i r="1">
      <x v="52"/>
    </i>
    <i r="1">
      <x v="78"/>
    </i>
    <i>
      <x v="424"/>
    </i>
    <i r="1">
      <x v="1"/>
    </i>
    <i>
      <x v="425"/>
    </i>
    <i r="1">
      <x v="53"/>
    </i>
    <i>
      <x v="426"/>
    </i>
    <i r="1">
      <x v="66"/>
    </i>
    <i>
      <x v="427"/>
    </i>
    <i r="1">
      <x v="97"/>
    </i>
    <i>
      <x v="428"/>
    </i>
    <i r="1">
      <x v="34"/>
    </i>
    <i>
      <x v="429"/>
    </i>
    <i r="1">
      <x v="1"/>
    </i>
    <i>
      <x v="430"/>
    </i>
    <i r="1">
      <x v="53"/>
    </i>
    <i>
      <x v="431"/>
    </i>
    <i r="1">
      <x v="53"/>
    </i>
    <i>
      <x v="432"/>
    </i>
    <i r="1">
      <x v="52"/>
    </i>
    <i>
      <x v="433"/>
    </i>
    <i r="1">
      <x v="53"/>
    </i>
    <i r="1">
      <x v="91"/>
    </i>
    <i>
      <x v="434"/>
    </i>
    <i r="1">
      <x v="94"/>
    </i>
    <i>
      <x v="435"/>
    </i>
    <i r="1">
      <x v="91"/>
    </i>
    <i>
      <x v="436"/>
    </i>
    <i r="1">
      <x v="52"/>
    </i>
    <i>
      <x v="437"/>
    </i>
    <i r="1">
      <x v="34"/>
    </i>
    <i>
      <x v="438"/>
    </i>
    <i r="1">
      <x v="16"/>
    </i>
    <i>
      <x v="439"/>
    </i>
    <i r="1">
      <x v="34"/>
    </i>
    <i>
      <x v="440"/>
    </i>
    <i r="1">
      <x v="34"/>
    </i>
    <i>
      <x v="441"/>
    </i>
    <i r="1">
      <x v="52"/>
    </i>
    <i>
      <x v="442"/>
    </i>
    <i r="1">
      <x v="38"/>
    </i>
    <i>
      <x v="443"/>
    </i>
    <i r="1">
      <x v="5"/>
    </i>
    <i>
      <x v="444"/>
    </i>
    <i r="1">
      <x v="52"/>
    </i>
    <i>
      <x v="445"/>
    </i>
    <i r="1">
      <x v="3"/>
    </i>
    <i>
      <x v="446"/>
    </i>
    <i r="1">
      <x v="53"/>
    </i>
    <i>
      <x v="447"/>
    </i>
    <i r="1">
      <x v="53"/>
    </i>
    <i>
      <x v="448"/>
    </i>
    <i r="1">
      <x v="66"/>
    </i>
    <i>
      <x v="449"/>
    </i>
    <i r="1">
      <x v="30"/>
    </i>
    <i>
      <x v="450"/>
    </i>
    <i r="1">
      <x v="53"/>
    </i>
    <i>
      <x v="451"/>
    </i>
    <i r="1">
      <x v="1"/>
    </i>
    <i r="1">
      <x v="25"/>
    </i>
    <i>
      <x v="452"/>
    </i>
    <i r="1">
      <x v="52"/>
    </i>
    <i r="1">
      <x v="103"/>
    </i>
    <i>
      <x v="453"/>
    </i>
    <i r="1">
      <x v="53"/>
    </i>
    <i>
      <x v="454"/>
    </i>
    <i r="1">
      <x v="66"/>
    </i>
    <i>
      <x v="455"/>
    </i>
    <i r="1">
      <x v="23"/>
    </i>
    <i>
      <x v="456"/>
    </i>
    <i r="1">
      <x v="53"/>
    </i>
    <i>
      <x v="457"/>
    </i>
    <i r="1">
      <x v="84"/>
    </i>
    <i>
      <x v="458"/>
    </i>
    <i r="1">
      <x v="53"/>
    </i>
    <i>
      <x v="459"/>
    </i>
    <i r="1">
      <x v="38"/>
    </i>
    <i>
      <x v="460"/>
    </i>
    <i r="1">
      <x v="52"/>
    </i>
    <i>
      <x v="461"/>
    </i>
    <i r="1">
      <x v="73"/>
    </i>
    <i>
      <x v="462"/>
    </i>
    <i r="1">
      <x v="65"/>
    </i>
    <i>
      <x v="463"/>
    </i>
    <i r="1">
      <x v="52"/>
    </i>
    <i>
      <x v="464"/>
    </i>
    <i r="1">
      <x v="52"/>
    </i>
    <i>
      <x v="465"/>
    </i>
    <i r="1">
      <x v="87"/>
    </i>
    <i>
      <x v="466"/>
    </i>
    <i r="1">
      <x v="52"/>
    </i>
    <i>
      <x v="467"/>
    </i>
    <i r="1">
      <x v="58"/>
    </i>
    <i>
      <x v="468"/>
    </i>
    <i r="1">
      <x v="42"/>
    </i>
    <i>
      <x v="469"/>
    </i>
    <i r="1">
      <x v="1"/>
    </i>
    <i>
      <x v="470"/>
    </i>
    <i r="1">
      <x v="23"/>
    </i>
    <i>
      <x v="471"/>
    </i>
    <i r="1">
      <x v="13"/>
    </i>
    <i>
      <x v="472"/>
    </i>
    <i r="1">
      <x v="52"/>
    </i>
    <i>
      <x v="473"/>
    </i>
    <i r="1">
      <x v="83"/>
    </i>
    <i>
      <x v="474"/>
    </i>
    <i r="1">
      <x v="73"/>
    </i>
    <i>
      <x v="475"/>
    </i>
    <i r="1">
      <x v="1"/>
    </i>
    <i>
      <x v="476"/>
    </i>
    <i r="1">
      <x v="52"/>
    </i>
    <i>
      <x v="477"/>
    </i>
    <i r="1">
      <x v="52"/>
    </i>
    <i>
      <x v="478"/>
    </i>
    <i r="1">
      <x v="34"/>
    </i>
    <i>
      <x v="479"/>
    </i>
    <i r="1">
      <x v="47"/>
    </i>
    <i>
      <x v="480"/>
    </i>
    <i r="1">
      <x v="1"/>
    </i>
    <i>
      <x v="481"/>
    </i>
    <i r="1">
      <x v="86"/>
    </i>
    <i>
      <x v="482"/>
    </i>
    <i r="1">
      <x v="52"/>
    </i>
    <i>
      <x v="483"/>
    </i>
    <i r="1">
      <x v="18"/>
    </i>
    <i>
      <x v="484"/>
    </i>
    <i r="1">
      <x v="55"/>
    </i>
    <i>
      <x v="485"/>
    </i>
    <i r="1">
      <x v="23"/>
    </i>
    <i>
      <x v="486"/>
    </i>
    <i r="1">
      <x v="86"/>
    </i>
    <i>
      <x v="487"/>
    </i>
    <i r="1">
      <x v="68"/>
    </i>
    <i>
      <x v="488"/>
    </i>
    <i r="1">
      <x v="66"/>
    </i>
    <i>
      <x v="489"/>
    </i>
    <i r="1">
      <x v="52"/>
    </i>
    <i>
      <x v="490"/>
    </i>
    <i r="1">
      <x v="34"/>
    </i>
    <i>
      <x v="491"/>
    </i>
    <i r="1">
      <x v="23"/>
    </i>
    <i>
      <x v="492"/>
    </i>
    <i r="1">
      <x v="90"/>
    </i>
    <i>
      <x v="493"/>
    </i>
    <i r="1">
      <x v="34"/>
    </i>
    <i>
      <x v="494"/>
    </i>
    <i r="1">
      <x v="23"/>
    </i>
    <i>
      <x v="495"/>
    </i>
    <i r="1">
      <x v="90"/>
    </i>
    <i>
      <x v="496"/>
    </i>
    <i r="1">
      <x v="34"/>
    </i>
    <i>
      <x v="497"/>
    </i>
    <i r="1">
      <x v="51"/>
    </i>
    <i>
      <x v="498"/>
    </i>
    <i r="1">
      <x v="23"/>
    </i>
    <i>
      <x v="499"/>
    </i>
    <i r="1">
      <x v="34"/>
    </i>
    <i>
      <x v="500"/>
    </i>
    <i r="1">
      <x v="52"/>
    </i>
    <i>
      <x v="501"/>
    </i>
    <i r="1">
      <x v="90"/>
    </i>
    <i>
      <x v="502"/>
    </i>
    <i r="1">
      <x v="52"/>
    </i>
    <i>
      <x v="503"/>
    </i>
    <i r="1">
      <x v="99"/>
    </i>
    <i>
      <x v="504"/>
    </i>
    <i r="1">
      <x v="23"/>
    </i>
    <i>
      <x v="505"/>
    </i>
    <i r="1">
      <x v="53"/>
    </i>
    <i>
      <x v="506"/>
    </i>
    <i r="1">
      <x v="50"/>
    </i>
    <i>
      <x v="507"/>
    </i>
    <i r="1">
      <x v="34"/>
    </i>
    <i>
      <x v="508"/>
    </i>
    <i r="1">
      <x v="52"/>
    </i>
    <i>
      <x v="509"/>
    </i>
    <i r="1">
      <x v="23"/>
    </i>
    <i>
      <x v="510"/>
    </i>
    <i r="1">
      <x v="52"/>
    </i>
    <i>
      <x v="511"/>
    </i>
    <i r="1">
      <x v="52"/>
    </i>
    <i>
      <x v="512"/>
    </i>
    <i r="1">
      <x v="29"/>
    </i>
    <i>
      <x v="513"/>
    </i>
    <i r="1">
      <x v="52"/>
    </i>
    <i>
      <x v="514"/>
    </i>
    <i r="1">
      <x v="71"/>
    </i>
    <i>
      <x v="515"/>
    </i>
    <i r="1">
      <x v="1"/>
    </i>
    <i>
      <x v="516"/>
    </i>
    <i r="1">
      <x v="66"/>
    </i>
    <i>
      <x v="517"/>
    </i>
    <i r="1">
      <x v="53"/>
    </i>
    <i>
      <x v="518"/>
    </i>
    <i r="1">
      <x v="34"/>
    </i>
    <i>
      <x v="519"/>
    </i>
    <i r="1">
      <x v="12"/>
    </i>
    <i>
      <x v="520"/>
    </i>
    <i r="1">
      <x v="85"/>
    </i>
    <i>
      <x v="521"/>
    </i>
    <i r="1">
      <x v="41"/>
    </i>
    <i>
      <x v="522"/>
    </i>
    <i r="1">
      <x v="41"/>
    </i>
    <i>
      <x v="523"/>
    </i>
    <i r="1">
      <x v="41"/>
    </i>
    <i>
      <x v="524"/>
    </i>
    <i r="1">
      <x v="52"/>
    </i>
    <i>
      <x v="525"/>
    </i>
    <i r="1">
      <x v="34"/>
    </i>
    <i>
      <x v="526"/>
    </i>
    <i r="1">
      <x v="66"/>
    </i>
    <i>
      <x v="527"/>
    </i>
    <i r="1">
      <x v="52"/>
    </i>
    <i>
      <x v="528"/>
    </i>
    <i r="1">
      <x v="52"/>
    </i>
    <i>
      <x v="529"/>
    </i>
    <i r="1">
      <x v="73"/>
    </i>
    <i>
      <x v="530"/>
    </i>
    <i r="1">
      <x v="91"/>
    </i>
    <i>
      <x v="531"/>
    </i>
    <i r="1">
      <x v="1"/>
    </i>
    <i>
      <x v="532"/>
    </i>
    <i r="1">
      <x v="56"/>
    </i>
    <i>
      <x v="533"/>
    </i>
    <i r="1">
      <x v="44"/>
    </i>
    <i>
      <x v="534"/>
    </i>
    <i r="1">
      <x v="54"/>
    </i>
    <i>
      <x v="535"/>
    </i>
    <i r="1">
      <x v="91"/>
    </i>
    <i>
      <x v="536"/>
    </i>
    <i r="1">
      <x v="9"/>
    </i>
    <i>
      <x v="537"/>
    </i>
    <i r="1">
      <x v="86"/>
    </i>
    <i>
      <x v="538"/>
    </i>
    <i r="1">
      <x v="1"/>
    </i>
    <i r="1">
      <x v="12"/>
    </i>
    <i>
      <x v="539"/>
    </i>
    <i r="1">
      <x v="102"/>
    </i>
    <i>
      <x v="540"/>
    </i>
    <i r="1">
      <x v="53"/>
    </i>
    <i>
      <x v="541"/>
    </i>
    <i r="1">
      <x v="34"/>
    </i>
    <i>
      <x v="542"/>
    </i>
    <i r="1">
      <x v="23"/>
    </i>
    <i>
      <x v="543"/>
    </i>
    <i r="1">
      <x v="38"/>
    </i>
    <i>
      <x v="544"/>
    </i>
    <i r="1">
      <x v="53"/>
    </i>
    <i>
      <x v="545"/>
    </i>
    <i r="1">
      <x v="34"/>
    </i>
    <i>
      <x v="546"/>
    </i>
    <i r="1">
      <x v="52"/>
    </i>
    <i>
      <x v="547"/>
    </i>
    <i r="1">
      <x v="1"/>
    </i>
    <i>
      <x v="548"/>
    </i>
    <i r="1">
      <x v="1"/>
    </i>
    <i>
      <x v="549"/>
    </i>
    <i r="1">
      <x v="52"/>
    </i>
    <i>
      <x v="550"/>
    </i>
    <i r="1">
      <x v="73"/>
    </i>
    <i>
      <x v="551"/>
    </i>
    <i r="1">
      <x v="23"/>
    </i>
    <i>
      <x v="552"/>
    </i>
    <i r="1">
      <x v="88"/>
    </i>
    <i>
      <x v="553"/>
    </i>
    <i r="1">
      <x v="23"/>
    </i>
    <i>
      <x v="554"/>
    </i>
    <i r="1">
      <x v="57"/>
    </i>
    <i>
      <x v="555"/>
    </i>
    <i r="1">
      <x v="1"/>
    </i>
    <i>
      <x v="556"/>
    </i>
    <i r="1">
      <x v="99"/>
    </i>
    <i>
      <x v="557"/>
    </i>
    <i r="1">
      <x v="91"/>
    </i>
    <i>
      <x v="558"/>
    </i>
    <i r="1">
      <x v="23"/>
    </i>
    <i>
      <x v="559"/>
    </i>
    <i r="1">
      <x v="49"/>
    </i>
    <i>
      <x v="560"/>
    </i>
    <i r="1">
      <x v="52"/>
    </i>
    <i>
      <x v="561"/>
    </i>
    <i r="1">
      <x v="44"/>
    </i>
    <i>
      <x v="562"/>
    </i>
    <i r="1">
      <x v="21"/>
    </i>
    <i>
      <x v="563"/>
    </i>
    <i r="1">
      <x v="15"/>
    </i>
    <i>
      <x v="564"/>
    </i>
    <i r="1">
      <x v="34"/>
    </i>
    <i>
      <x v="565"/>
    </i>
    <i r="1">
      <x v="80"/>
    </i>
    <i>
      <x v="566"/>
    </i>
    <i r="1">
      <x v="97"/>
    </i>
    <i>
      <x v="567"/>
    </i>
    <i r="1">
      <x v="23"/>
    </i>
    <i>
      <x v="568"/>
    </i>
    <i r="1">
      <x v="53"/>
    </i>
    <i>
      <x v="569"/>
    </i>
    <i r="1">
      <x v="1"/>
    </i>
    <i>
      <x v="570"/>
    </i>
    <i r="1">
      <x v="91"/>
    </i>
    <i>
      <x v="571"/>
    </i>
    <i r="1">
      <x v="34"/>
    </i>
    <i>
      <x v="572"/>
    </i>
    <i r="1">
      <x v="52"/>
    </i>
    <i>
      <x v="573"/>
    </i>
    <i r="1">
      <x v="48"/>
    </i>
    <i>
      <x v="574"/>
    </i>
    <i r="1">
      <x v="23"/>
    </i>
    <i>
      <x v="575"/>
    </i>
    <i r="1">
      <x v="34"/>
    </i>
    <i>
      <x v="576"/>
    </i>
    <i r="1">
      <x v="8"/>
    </i>
    <i>
      <x v="577"/>
    </i>
    <i r="1">
      <x v="1"/>
    </i>
    <i>
      <x v="578"/>
    </i>
    <i r="1">
      <x v="52"/>
    </i>
    <i>
      <x v="579"/>
    </i>
    <i r="1">
      <x v="1"/>
    </i>
    <i>
      <x v="580"/>
    </i>
    <i r="1">
      <x v="23"/>
    </i>
    <i>
      <x v="581"/>
    </i>
    <i r="1">
      <x v="6"/>
    </i>
    <i>
      <x v="582"/>
    </i>
    <i r="1">
      <x v="18"/>
    </i>
    <i>
      <x v="583"/>
    </i>
    <i r="1">
      <x v="38"/>
    </i>
    <i>
      <x v="584"/>
    </i>
    <i r="1">
      <x v="86"/>
    </i>
    <i>
      <x v="585"/>
    </i>
    <i r="1">
      <x v="63"/>
    </i>
    <i>
      <x v="586"/>
    </i>
    <i r="1">
      <x v="23"/>
    </i>
    <i>
      <x v="587"/>
    </i>
    <i r="1">
      <x v="96"/>
    </i>
    <i>
      <x v="588"/>
    </i>
    <i r="1">
      <x v="53"/>
    </i>
    <i>
      <x v="589"/>
    </i>
    <i r="1">
      <x v="1"/>
    </i>
    <i>
      <x v="590"/>
    </i>
    <i r="1">
      <x v="53"/>
    </i>
    <i>
      <x v="591"/>
    </i>
    <i r="1">
      <x v="23"/>
    </i>
    <i>
      <x v="592"/>
    </i>
    <i r="1">
      <x v="23"/>
    </i>
    <i>
      <x v="593"/>
    </i>
    <i r="1">
      <x v="64"/>
    </i>
    <i>
      <x v="594"/>
    </i>
    <i r="1">
      <x v="52"/>
    </i>
    <i>
      <x v="595"/>
    </i>
    <i r="1">
      <x v="2"/>
    </i>
    <i>
      <x v="596"/>
    </i>
    <i r="1">
      <x v="52"/>
    </i>
    <i>
      <x v="597"/>
    </i>
    <i r="1">
      <x v="8"/>
    </i>
    <i>
      <x v="598"/>
    </i>
    <i r="1">
      <x v="1"/>
    </i>
    <i>
      <x v="599"/>
    </i>
    <i r="1">
      <x v="53"/>
    </i>
    <i r="1">
      <x v="73"/>
    </i>
    <i>
      <x v="600"/>
    </i>
    <i r="1">
      <x v="23"/>
    </i>
    <i>
      <x v="601"/>
    </i>
    <i r="1">
      <x v="101"/>
    </i>
    <i>
      <x v="602"/>
    </i>
    <i r="1">
      <x v="8"/>
    </i>
    <i>
      <x v="603"/>
    </i>
    <i r="1">
      <x v="1"/>
    </i>
    <i>
      <x v="604"/>
    </i>
    <i r="1">
      <x v="73"/>
    </i>
    <i>
      <x v="605"/>
    </i>
    <i r="1">
      <x v="52"/>
    </i>
    <i>
      <x v="606"/>
    </i>
    <i r="1">
      <x v="52"/>
    </i>
    <i>
      <x v="607"/>
    </i>
    <i r="1">
      <x v="53"/>
    </i>
    <i>
      <x v="608"/>
    </i>
    <i r="1">
      <x v="1"/>
    </i>
    <i>
      <x v="609"/>
    </i>
    <i r="1">
      <x v="1"/>
    </i>
    <i>
      <x v="610"/>
    </i>
    <i r="1">
      <x v="34"/>
    </i>
    <i>
      <x v="611"/>
    </i>
    <i r="1">
      <x v="53"/>
    </i>
    <i>
      <x v="612"/>
    </i>
    <i r="1">
      <x v="53"/>
    </i>
    <i>
      <x v="613"/>
    </i>
    <i r="1">
      <x v="52"/>
    </i>
    <i>
      <x v="614"/>
    </i>
    <i r="1">
      <x v="106"/>
    </i>
    <i>
      <x v="615"/>
    </i>
    <i r="1">
      <x v="38"/>
    </i>
    <i>
      <x v="616"/>
    </i>
    <i r="1">
      <x v="1"/>
    </i>
    <i r="1">
      <x v="90"/>
    </i>
    <i>
      <x v="617"/>
    </i>
    <i r="1">
      <x v="52"/>
    </i>
    <i>
      <x v="618"/>
    </i>
    <i r="1">
      <x v="34"/>
    </i>
    <i>
      <x v="619"/>
    </i>
    <i r="1">
      <x v="23"/>
    </i>
    <i>
      <x v="620"/>
    </i>
    <i r="1">
      <x v="23"/>
    </i>
    <i>
      <x v="621"/>
    </i>
    <i r="1">
      <x v="34"/>
    </i>
    <i>
      <x v="622"/>
    </i>
    <i r="1">
      <x v="52"/>
    </i>
    <i>
      <x v="623"/>
    </i>
    <i r="1">
      <x v="34"/>
    </i>
    <i>
      <x v="624"/>
    </i>
    <i r="1">
      <x v="8"/>
    </i>
    <i>
      <x v="625"/>
    </i>
    <i r="1">
      <x v="19"/>
    </i>
    <i>
      <x v="626"/>
    </i>
    <i r="1">
      <x v="1"/>
    </i>
    <i>
      <x v="627"/>
    </i>
    <i r="1">
      <x v="8"/>
    </i>
    <i>
      <x v="628"/>
    </i>
    <i r="1">
      <x v="95"/>
    </i>
    <i>
      <x v="629"/>
    </i>
    <i r="1">
      <x v="52"/>
    </i>
    <i>
      <x v="630"/>
    </i>
    <i r="1">
      <x v="52"/>
    </i>
    <i>
      <x v="631"/>
    </i>
    <i r="1">
      <x v="23"/>
    </i>
    <i r="1">
      <x v="73"/>
    </i>
    <i>
      <x v="632"/>
    </i>
    <i r="1">
      <x v="75"/>
    </i>
    <i>
      <x v="633"/>
    </i>
    <i r="1">
      <x v="86"/>
    </i>
    <i>
      <x v="634"/>
    </i>
    <i r="1">
      <x v="73"/>
    </i>
    <i>
      <x v="635"/>
    </i>
    <i r="1">
      <x v="34"/>
    </i>
    <i>
      <x v="636"/>
    </i>
    <i r="1">
      <x v="7"/>
    </i>
    <i>
      <x v="637"/>
    </i>
    <i r="1">
      <x v="1"/>
    </i>
    <i>
      <x v="638"/>
    </i>
    <i r="1">
      <x v="52"/>
    </i>
    <i>
      <x v="639"/>
    </i>
    <i r="1">
      <x v="52"/>
    </i>
    <i>
      <x v="640"/>
    </i>
    <i r="1">
      <x v="52"/>
    </i>
    <i>
      <x v="641"/>
    </i>
    <i r="1">
      <x v="52"/>
    </i>
    <i>
      <x v="642"/>
    </i>
    <i r="1">
      <x v="1"/>
    </i>
    <i>
      <x v="643"/>
    </i>
    <i r="1">
      <x v="53"/>
    </i>
    <i>
      <x v="644"/>
    </i>
    <i r="1">
      <x v="52"/>
    </i>
    <i>
      <x v="645"/>
    </i>
    <i r="1">
      <x v="100"/>
    </i>
    <i>
      <x v="646"/>
    </i>
    <i r="1">
      <x v="23"/>
    </i>
    <i>
      <x v="647"/>
    </i>
    <i r="1">
      <x v="53"/>
    </i>
    <i>
      <x v="648"/>
    </i>
    <i r="1">
      <x v="1"/>
    </i>
    <i>
      <x v="649"/>
    </i>
    <i r="1">
      <x v="73"/>
    </i>
    <i>
      <x v="650"/>
    </i>
    <i r="1">
      <x v="52"/>
    </i>
    <i>
      <x v="651"/>
    </i>
    <i r="1">
      <x v="105"/>
    </i>
    <i>
      <x v="652"/>
    </i>
    <i r="1">
      <x v="91"/>
    </i>
    <i>
      <x v="653"/>
    </i>
    <i r="1">
      <x v="52"/>
    </i>
    <i>
      <x v="654"/>
    </i>
    <i r="1">
      <x v="65"/>
    </i>
    <i>
      <x v="655"/>
    </i>
    <i r="1">
      <x v="53"/>
    </i>
    <i>
      <x v="656"/>
    </i>
    <i r="1">
      <x v="1"/>
    </i>
    <i>
      <x v="657"/>
    </i>
    <i r="1">
      <x v="6"/>
    </i>
    <i>
      <x v="658"/>
    </i>
    <i r="1">
      <x v="54"/>
    </i>
    <i>
      <x v="659"/>
    </i>
    <i r="1">
      <x v="20"/>
    </i>
    <i>
      <x v="660"/>
    </i>
    <i r="1">
      <x v="29"/>
    </i>
    <i>
      <x v="661"/>
    </i>
    <i r="1">
      <x v="12"/>
    </i>
    <i>
      <x v="662"/>
    </i>
    <i r="1">
      <x v="52"/>
    </i>
    <i>
      <x v="663"/>
    </i>
    <i r="1">
      <x v="91"/>
    </i>
    <i>
      <x v="664"/>
    </i>
    <i r="1">
      <x v="91"/>
    </i>
    <i>
      <x v="665"/>
    </i>
    <i r="1">
      <x v="52"/>
    </i>
    <i>
      <x v="666"/>
    </i>
    <i r="1">
      <x v="23"/>
    </i>
    <i>
      <x v="667"/>
    </i>
    <i r="1">
      <x v="52"/>
    </i>
    <i t="grand">
      <x/>
    </i>
  </rowItems>
  <colFields count="1">
    <field x="-2"/>
  </colFields>
  <colItems count="2">
    <i>
      <x/>
    </i>
    <i i="1">
      <x v="1"/>
    </i>
  </colItems>
  <pageFields count="1">
    <pageField fld="7" hier="-1"/>
  </pageFields>
  <dataFields count="2">
    <dataField name=" S.N." fld="0" baseField="1" baseItem="0"/>
    <dataField name=" Total Votes" fld="5" baseField="0" baseItem="0"/>
  </dataFields>
  <formats count="2068">
    <format dxfId="2457">
      <pivotArea type="all" dataOnly="0" outline="0" fieldPosition="0"/>
    </format>
    <format dxfId="2456">
      <pivotArea outline="0" collapsedLevelsAreSubtotals="1" fieldPosition="0"/>
    </format>
    <format dxfId="2455">
      <pivotArea field="1" type="button" dataOnly="0" labelOnly="1" outline="0" axis="axisRow" fieldPosition="0"/>
    </format>
    <format dxfId="245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53">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452">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451">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450">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449">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448">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447">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446">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445">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444">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443">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442">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441">
      <pivotArea dataOnly="0" labelOnly="1" fieldPosition="0">
        <references count="1">
          <reference field="1" count="18">
            <x v="650"/>
            <x v="651"/>
            <x v="652"/>
            <x v="653"/>
            <x v="654"/>
            <x v="655"/>
            <x v="656"/>
            <x v="657"/>
            <x v="658"/>
            <x v="659"/>
            <x v="660"/>
            <x v="661"/>
            <x v="662"/>
            <x v="663"/>
            <x v="664"/>
            <x v="665"/>
            <x v="666"/>
            <x v="667"/>
          </reference>
        </references>
      </pivotArea>
    </format>
    <format dxfId="2440">
      <pivotArea dataOnly="0" labelOnly="1" grandRow="1" outline="0" fieldPosition="0"/>
    </format>
    <format dxfId="2439">
      <pivotArea dataOnly="0" labelOnly="1" fieldPosition="0">
        <references count="2">
          <reference field="1" count="1" selected="0">
            <x v="0"/>
          </reference>
          <reference field="2" count="1">
            <x v="1"/>
          </reference>
        </references>
      </pivotArea>
    </format>
    <format dxfId="2438">
      <pivotArea dataOnly="0" labelOnly="1" fieldPosition="0">
        <references count="2">
          <reference field="1" count="1" selected="0">
            <x v="1"/>
          </reference>
          <reference field="2" count="1">
            <x v="34"/>
          </reference>
        </references>
      </pivotArea>
    </format>
    <format dxfId="2437">
      <pivotArea dataOnly="0" labelOnly="1" fieldPosition="0">
        <references count="2">
          <reference field="1" count="1" selected="0">
            <x v="2"/>
          </reference>
          <reference field="2" count="1">
            <x v="52"/>
          </reference>
        </references>
      </pivotArea>
    </format>
    <format dxfId="2436">
      <pivotArea dataOnly="0" labelOnly="1" fieldPosition="0">
        <references count="2">
          <reference field="1" count="1" selected="0">
            <x v="3"/>
          </reference>
          <reference field="2" count="1">
            <x v="1"/>
          </reference>
        </references>
      </pivotArea>
    </format>
    <format dxfId="2435">
      <pivotArea dataOnly="0" labelOnly="1" fieldPosition="0">
        <references count="2">
          <reference field="1" count="1" selected="0">
            <x v="4"/>
          </reference>
          <reference field="2" count="1">
            <x v="53"/>
          </reference>
        </references>
      </pivotArea>
    </format>
    <format dxfId="2434">
      <pivotArea dataOnly="0" labelOnly="1" fieldPosition="0">
        <references count="2">
          <reference field="1" count="1" selected="0">
            <x v="5"/>
          </reference>
          <reference field="2" count="1">
            <x v="23"/>
          </reference>
        </references>
      </pivotArea>
    </format>
    <format dxfId="2433">
      <pivotArea dataOnly="0" labelOnly="1" fieldPosition="0">
        <references count="2">
          <reference field="1" count="1" selected="0">
            <x v="6"/>
          </reference>
          <reference field="2" count="1">
            <x v="36"/>
          </reference>
        </references>
      </pivotArea>
    </format>
    <format dxfId="2432">
      <pivotArea dataOnly="0" labelOnly="1" fieldPosition="0">
        <references count="2">
          <reference field="1" count="1" selected="0">
            <x v="7"/>
          </reference>
          <reference field="2" count="1">
            <x v="34"/>
          </reference>
        </references>
      </pivotArea>
    </format>
    <format dxfId="2431">
      <pivotArea dataOnly="0" labelOnly="1" fieldPosition="0">
        <references count="2">
          <reference field="1" count="1" selected="0">
            <x v="8"/>
          </reference>
          <reference field="2" count="2">
            <x v="55"/>
            <x v="66"/>
          </reference>
        </references>
      </pivotArea>
    </format>
    <format dxfId="2430">
      <pivotArea dataOnly="0" labelOnly="1" fieldPosition="0">
        <references count="2">
          <reference field="1" count="1" selected="0">
            <x v="9"/>
          </reference>
          <reference field="2" count="1">
            <x v="53"/>
          </reference>
        </references>
      </pivotArea>
    </format>
    <format dxfId="2429">
      <pivotArea dataOnly="0" labelOnly="1" fieldPosition="0">
        <references count="2">
          <reference field="1" count="1" selected="0">
            <x v="10"/>
          </reference>
          <reference field="2" count="1">
            <x v="83"/>
          </reference>
        </references>
      </pivotArea>
    </format>
    <format dxfId="2428">
      <pivotArea dataOnly="0" labelOnly="1" fieldPosition="0">
        <references count="2">
          <reference field="1" count="1" selected="0">
            <x v="11"/>
          </reference>
          <reference field="2" count="1">
            <x v="0"/>
          </reference>
        </references>
      </pivotArea>
    </format>
    <format dxfId="2427">
      <pivotArea dataOnly="0" labelOnly="1" fieldPosition="0">
        <references count="2">
          <reference field="1" count="1" selected="0">
            <x v="12"/>
          </reference>
          <reference field="2" count="1">
            <x v="53"/>
          </reference>
        </references>
      </pivotArea>
    </format>
    <format dxfId="2426">
      <pivotArea dataOnly="0" labelOnly="1" fieldPosition="0">
        <references count="2">
          <reference field="1" count="1" selected="0">
            <x v="13"/>
          </reference>
          <reference field="2" count="1">
            <x v="1"/>
          </reference>
        </references>
      </pivotArea>
    </format>
    <format dxfId="2425">
      <pivotArea dataOnly="0" labelOnly="1" fieldPosition="0">
        <references count="2">
          <reference field="1" count="1" selected="0">
            <x v="14"/>
          </reference>
          <reference field="2" count="1">
            <x v="66"/>
          </reference>
        </references>
      </pivotArea>
    </format>
    <format dxfId="2424">
      <pivotArea dataOnly="0" labelOnly="1" fieldPosition="0">
        <references count="2">
          <reference field="1" count="1" selected="0">
            <x v="15"/>
          </reference>
          <reference field="2" count="1">
            <x v="71"/>
          </reference>
        </references>
      </pivotArea>
    </format>
    <format dxfId="2423">
      <pivotArea dataOnly="0" labelOnly="1" fieldPosition="0">
        <references count="2">
          <reference field="1" count="1" selected="0">
            <x v="16"/>
          </reference>
          <reference field="2" count="1">
            <x v="73"/>
          </reference>
        </references>
      </pivotArea>
    </format>
    <format dxfId="2422">
      <pivotArea dataOnly="0" labelOnly="1" fieldPosition="0">
        <references count="2">
          <reference field="1" count="1" selected="0">
            <x v="17"/>
          </reference>
          <reference field="2" count="1">
            <x v="52"/>
          </reference>
        </references>
      </pivotArea>
    </format>
    <format dxfId="2421">
      <pivotArea dataOnly="0" labelOnly="1" fieldPosition="0">
        <references count="2">
          <reference field="1" count="1" selected="0">
            <x v="18"/>
          </reference>
          <reference field="2" count="1">
            <x v="34"/>
          </reference>
        </references>
      </pivotArea>
    </format>
    <format dxfId="2420">
      <pivotArea dataOnly="0" labelOnly="1" fieldPosition="0">
        <references count="2">
          <reference field="1" count="1" selected="0">
            <x v="19"/>
          </reference>
          <reference field="2" count="1">
            <x v="52"/>
          </reference>
        </references>
      </pivotArea>
    </format>
    <format dxfId="2419">
      <pivotArea dataOnly="0" labelOnly="1" fieldPosition="0">
        <references count="2">
          <reference field="1" count="1" selected="0">
            <x v="20"/>
          </reference>
          <reference field="2" count="1">
            <x v="1"/>
          </reference>
        </references>
      </pivotArea>
    </format>
    <format dxfId="2418">
      <pivotArea dataOnly="0" labelOnly="1" fieldPosition="0">
        <references count="2">
          <reference field="1" count="1" selected="0">
            <x v="21"/>
          </reference>
          <reference field="2" count="1">
            <x v="39"/>
          </reference>
        </references>
      </pivotArea>
    </format>
    <format dxfId="2417">
      <pivotArea dataOnly="0" labelOnly="1" fieldPosition="0">
        <references count="2">
          <reference field="1" count="1" selected="0">
            <x v="22"/>
          </reference>
          <reference field="2" count="1">
            <x v="1"/>
          </reference>
        </references>
      </pivotArea>
    </format>
    <format dxfId="2416">
      <pivotArea dataOnly="0" labelOnly="1" fieldPosition="0">
        <references count="2">
          <reference field="1" count="1" selected="0">
            <x v="23"/>
          </reference>
          <reference field="2" count="1">
            <x v="53"/>
          </reference>
        </references>
      </pivotArea>
    </format>
    <format dxfId="2415">
      <pivotArea dataOnly="0" labelOnly="1" fieldPosition="0">
        <references count="2">
          <reference field="1" count="1" selected="0">
            <x v="24"/>
          </reference>
          <reference field="2" count="1">
            <x v="53"/>
          </reference>
        </references>
      </pivotArea>
    </format>
    <format dxfId="2414">
      <pivotArea dataOnly="0" labelOnly="1" fieldPosition="0">
        <references count="2">
          <reference field="1" count="1" selected="0">
            <x v="25"/>
          </reference>
          <reference field="2" count="1">
            <x v="53"/>
          </reference>
        </references>
      </pivotArea>
    </format>
    <format dxfId="2413">
      <pivotArea dataOnly="0" labelOnly="1" fieldPosition="0">
        <references count="2">
          <reference field="1" count="1" selected="0">
            <x v="26"/>
          </reference>
          <reference field="2" count="1">
            <x v="52"/>
          </reference>
        </references>
      </pivotArea>
    </format>
    <format dxfId="2412">
      <pivotArea dataOnly="0" labelOnly="1" fieldPosition="0">
        <references count="2">
          <reference field="1" count="1" selected="0">
            <x v="27"/>
          </reference>
          <reference field="2" count="1">
            <x v="52"/>
          </reference>
        </references>
      </pivotArea>
    </format>
    <format dxfId="2411">
      <pivotArea dataOnly="0" labelOnly="1" fieldPosition="0">
        <references count="2">
          <reference field="1" count="1" selected="0">
            <x v="28"/>
          </reference>
          <reference field="2" count="1">
            <x v="1"/>
          </reference>
        </references>
      </pivotArea>
    </format>
    <format dxfId="2410">
      <pivotArea dataOnly="0" labelOnly="1" fieldPosition="0">
        <references count="2">
          <reference field="1" count="1" selected="0">
            <x v="29"/>
          </reference>
          <reference field="2" count="1">
            <x v="52"/>
          </reference>
        </references>
      </pivotArea>
    </format>
    <format dxfId="2409">
      <pivotArea dataOnly="0" labelOnly="1" fieldPosition="0">
        <references count="2">
          <reference field="1" count="1" selected="0">
            <x v="30"/>
          </reference>
          <reference field="2" count="1">
            <x v="23"/>
          </reference>
        </references>
      </pivotArea>
    </format>
    <format dxfId="2408">
      <pivotArea dataOnly="0" labelOnly="1" fieldPosition="0">
        <references count="2">
          <reference field="1" count="1" selected="0">
            <x v="31"/>
          </reference>
          <reference field="2" count="1">
            <x v="53"/>
          </reference>
        </references>
      </pivotArea>
    </format>
    <format dxfId="2407">
      <pivotArea dataOnly="0" labelOnly="1" fieldPosition="0">
        <references count="2">
          <reference field="1" count="1" selected="0">
            <x v="32"/>
          </reference>
          <reference field="2" count="1">
            <x v="46"/>
          </reference>
        </references>
      </pivotArea>
    </format>
    <format dxfId="2406">
      <pivotArea dataOnly="0" labelOnly="1" fieldPosition="0">
        <references count="2">
          <reference field="1" count="1" selected="0">
            <x v="33"/>
          </reference>
          <reference field="2" count="1">
            <x v="96"/>
          </reference>
        </references>
      </pivotArea>
    </format>
    <format dxfId="2405">
      <pivotArea dataOnly="0" labelOnly="1" fieldPosition="0">
        <references count="2">
          <reference field="1" count="1" selected="0">
            <x v="34"/>
          </reference>
          <reference field="2" count="1">
            <x v="56"/>
          </reference>
        </references>
      </pivotArea>
    </format>
    <format dxfId="2404">
      <pivotArea dataOnly="0" labelOnly="1" fieldPosition="0">
        <references count="2">
          <reference field="1" count="1" selected="0">
            <x v="35"/>
          </reference>
          <reference field="2" count="1">
            <x v="23"/>
          </reference>
        </references>
      </pivotArea>
    </format>
    <format dxfId="2403">
      <pivotArea dataOnly="0" labelOnly="1" fieldPosition="0">
        <references count="2">
          <reference field="1" count="1" selected="0">
            <x v="36"/>
          </reference>
          <reference field="2" count="1">
            <x v="52"/>
          </reference>
        </references>
      </pivotArea>
    </format>
    <format dxfId="2402">
      <pivotArea dataOnly="0" labelOnly="1" fieldPosition="0">
        <references count="2">
          <reference field="1" count="1" selected="0">
            <x v="37"/>
          </reference>
          <reference field="2" count="1">
            <x v="52"/>
          </reference>
        </references>
      </pivotArea>
    </format>
    <format dxfId="2401">
      <pivotArea dataOnly="0" labelOnly="1" fieldPosition="0">
        <references count="2">
          <reference field="1" count="1" selected="0">
            <x v="38"/>
          </reference>
          <reference field="2" count="1">
            <x v="53"/>
          </reference>
        </references>
      </pivotArea>
    </format>
    <format dxfId="2400">
      <pivotArea dataOnly="0" labelOnly="1" fieldPosition="0">
        <references count="2">
          <reference field="1" count="1" selected="0">
            <x v="39"/>
          </reference>
          <reference field="2" count="1">
            <x v="1"/>
          </reference>
        </references>
      </pivotArea>
    </format>
    <format dxfId="2399">
      <pivotArea dataOnly="0" labelOnly="1" fieldPosition="0">
        <references count="2">
          <reference field="1" count="1" selected="0">
            <x v="40"/>
          </reference>
          <reference field="2" count="1">
            <x v="58"/>
          </reference>
        </references>
      </pivotArea>
    </format>
    <format dxfId="2398">
      <pivotArea dataOnly="0" labelOnly="1" fieldPosition="0">
        <references count="2">
          <reference field="1" count="1" selected="0">
            <x v="41"/>
          </reference>
          <reference field="2" count="4">
            <x v="8"/>
            <x v="38"/>
            <x v="53"/>
            <x v="65"/>
          </reference>
        </references>
      </pivotArea>
    </format>
    <format dxfId="2397">
      <pivotArea dataOnly="0" labelOnly="1" fieldPosition="0">
        <references count="2">
          <reference field="1" count="1" selected="0">
            <x v="42"/>
          </reference>
          <reference field="2" count="1">
            <x v="34"/>
          </reference>
        </references>
      </pivotArea>
    </format>
    <format dxfId="2396">
      <pivotArea dataOnly="0" labelOnly="1" fieldPosition="0">
        <references count="2">
          <reference field="1" count="1" selected="0">
            <x v="43"/>
          </reference>
          <reference field="2" count="1">
            <x v="34"/>
          </reference>
        </references>
      </pivotArea>
    </format>
    <format dxfId="2395">
      <pivotArea dataOnly="0" labelOnly="1" fieldPosition="0">
        <references count="2">
          <reference field="1" count="1" selected="0">
            <x v="44"/>
          </reference>
          <reference field="2" count="1">
            <x v="46"/>
          </reference>
        </references>
      </pivotArea>
    </format>
    <format dxfId="2394">
      <pivotArea dataOnly="0" labelOnly="1" fieldPosition="0">
        <references count="2">
          <reference field="1" count="1" selected="0">
            <x v="45"/>
          </reference>
          <reference field="2" count="1">
            <x v="34"/>
          </reference>
        </references>
      </pivotArea>
    </format>
    <format dxfId="2393">
      <pivotArea dataOnly="0" labelOnly="1" fieldPosition="0">
        <references count="2">
          <reference field="1" count="1" selected="0">
            <x v="46"/>
          </reference>
          <reference field="2" count="1">
            <x v="96"/>
          </reference>
        </references>
      </pivotArea>
    </format>
    <format dxfId="2392">
      <pivotArea dataOnly="0" labelOnly="1" fieldPosition="0">
        <references count="2">
          <reference field="1" count="1" selected="0">
            <x v="47"/>
          </reference>
          <reference field="2" count="1">
            <x v="91"/>
          </reference>
        </references>
      </pivotArea>
    </format>
    <format dxfId="2391">
      <pivotArea dataOnly="0" labelOnly="1" fieldPosition="0">
        <references count="2">
          <reference field="1" count="1" selected="0">
            <x v="48"/>
          </reference>
          <reference field="2" count="1">
            <x v="52"/>
          </reference>
        </references>
      </pivotArea>
    </format>
    <format dxfId="2390">
      <pivotArea dataOnly="0" labelOnly="1" fieldPosition="0">
        <references count="2">
          <reference field="1" count="1" selected="0">
            <x v="49"/>
          </reference>
          <reference field="2" count="1">
            <x v="18"/>
          </reference>
        </references>
      </pivotArea>
    </format>
    <format dxfId="2389">
      <pivotArea dataOnly="0" labelOnly="1" fieldPosition="0">
        <references count="2">
          <reference field="1" count="1" selected="0">
            <x v="50"/>
          </reference>
          <reference field="2" count="1">
            <x v="1"/>
          </reference>
        </references>
      </pivotArea>
    </format>
    <format dxfId="2388">
      <pivotArea dataOnly="0" labelOnly="1" fieldPosition="0">
        <references count="2">
          <reference field="1" count="1" selected="0">
            <x v="51"/>
          </reference>
          <reference field="2" count="1">
            <x v="52"/>
          </reference>
        </references>
      </pivotArea>
    </format>
    <format dxfId="2387">
      <pivotArea dataOnly="0" labelOnly="1" fieldPosition="0">
        <references count="2">
          <reference field="1" count="1" selected="0">
            <x v="52"/>
          </reference>
          <reference field="2" count="1">
            <x v="52"/>
          </reference>
        </references>
      </pivotArea>
    </format>
    <format dxfId="2386">
      <pivotArea dataOnly="0" labelOnly="1" fieldPosition="0">
        <references count="2">
          <reference field="1" count="1" selected="0">
            <x v="53"/>
          </reference>
          <reference field="2" count="1">
            <x v="100"/>
          </reference>
        </references>
      </pivotArea>
    </format>
    <format dxfId="2385">
      <pivotArea dataOnly="0" labelOnly="1" fieldPosition="0">
        <references count="2">
          <reference field="1" count="1" selected="0">
            <x v="54"/>
          </reference>
          <reference field="2" count="1">
            <x v="53"/>
          </reference>
        </references>
      </pivotArea>
    </format>
    <format dxfId="2384">
      <pivotArea dataOnly="0" labelOnly="1" fieldPosition="0">
        <references count="2">
          <reference field="1" count="1" selected="0">
            <x v="55"/>
          </reference>
          <reference field="2" count="1">
            <x v="53"/>
          </reference>
        </references>
      </pivotArea>
    </format>
    <format dxfId="2383">
      <pivotArea dataOnly="0" labelOnly="1" fieldPosition="0">
        <references count="2">
          <reference field="1" count="1" selected="0">
            <x v="56"/>
          </reference>
          <reference field="2" count="1">
            <x v="51"/>
          </reference>
        </references>
      </pivotArea>
    </format>
    <format dxfId="2382">
      <pivotArea dataOnly="0" labelOnly="1" fieldPosition="0">
        <references count="2">
          <reference field="1" count="1" selected="0">
            <x v="57"/>
          </reference>
          <reference field="2" count="1">
            <x v="52"/>
          </reference>
        </references>
      </pivotArea>
    </format>
    <format dxfId="2381">
      <pivotArea dataOnly="0" labelOnly="1" fieldPosition="0">
        <references count="2">
          <reference field="1" count="1" selected="0">
            <x v="58"/>
          </reference>
          <reference field="2" count="1">
            <x v="47"/>
          </reference>
        </references>
      </pivotArea>
    </format>
    <format dxfId="2380">
      <pivotArea dataOnly="0" labelOnly="1" fieldPosition="0">
        <references count="2">
          <reference field="1" count="1" selected="0">
            <x v="59"/>
          </reference>
          <reference field="2" count="1">
            <x v="53"/>
          </reference>
        </references>
      </pivotArea>
    </format>
    <format dxfId="2379">
      <pivotArea dataOnly="0" labelOnly="1" fieldPosition="0">
        <references count="2">
          <reference field="1" count="1" selected="0">
            <x v="60"/>
          </reference>
          <reference field="2" count="1">
            <x v="1"/>
          </reference>
        </references>
      </pivotArea>
    </format>
    <format dxfId="2378">
      <pivotArea dataOnly="0" labelOnly="1" fieldPosition="0">
        <references count="2">
          <reference field="1" count="1" selected="0">
            <x v="61"/>
          </reference>
          <reference field="2" count="1">
            <x v="8"/>
          </reference>
        </references>
      </pivotArea>
    </format>
    <format dxfId="2377">
      <pivotArea dataOnly="0" labelOnly="1" fieldPosition="0">
        <references count="2">
          <reference field="1" count="1" selected="0">
            <x v="62"/>
          </reference>
          <reference field="2" count="1">
            <x v="83"/>
          </reference>
        </references>
      </pivotArea>
    </format>
    <format dxfId="2376">
      <pivotArea dataOnly="0" labelOnly="1" fieldPosition="0">
        <references count="2">
          <reference field="1" count="1" selected="0">
            <x v="63"/>
          </reference>
          <reference field="2" count="1">
            <x v="34"/>
          </reference>
        </references>
      </pivotArea>
    </format>
    <format dxfId="2375">
      <pivotArea dataOnly="0" labelOnly="1" fieldPosition="0">
        <references count="2">
          <reference field="1" count="1" selected="0">
            <x v="64"/>
          </reference>
          <reference field="2" count="1">
            <x v="29"/>
          </reference>
        </references>
      </pivotArea>
    </format>
    <format dxfId="2374">
      <pivotArea dataOnly="0" labelOnly="1" fieldPosition="0">
        <references count="2">
          <reference field="1" count="1" selected="0">
            <x v="65"/>
          </reference>
          <reference field="2" count="1">
            <x v="89"/>
          </reference>
        </references>
      </pivotArea>
    </format>
    <format dxfId="2373">
      <pivotArea dataOnly="0" labelOnly="1" fieldPosition="0">
        <references count="2">
          <reference field="1" count="1" selected="0">
            <x v="66"/>
          </reference>
          <reference field="2" count="1">
            <x v="99"/>
          </reference>
        </references>
      </pivotArea>
    </format>
    <format dxfId="2372">
      <pivotArea dataOnly="0" labelOnly="1" fieldPosition="0">
        <references count="2">
          <reference field="1" count="1" selected="0">
            <x v="67"/>
          </reference>
          <reference field="2" count="1">
            <x v="52"/>
          </reference>
        </references>
      </pivotArea>
    </format>
    <format dxfId="2371">
      <pivotArea dataOnly="0" labelOnly="1" fieldPosition="0">
        <references count="2">
          <reference field="1" count="1" selected="0">
            <x v="68"/>
          </reference>
          <reference field="2" count="2">
            <x v="34"/>
            <x v="52"/>
          </reference>
        </references>
      </pivotArea>
    </format>
    <format dxfId="2370">
      <pivotArea dataOnly="0" labelOnly="1" fieldPosition="0">
        <references count="2">
          <reference field="1" count="1" selected="0">
            <x v="69"/>
          </reference>
          <reference field="2" count="1">
            <x v="45"/>
          </reference>
        </references>
      </pivotArea>
    </format>
    <format dxfId="2369">
      <pivotArea dataOnly="0" labelOnly="1" fieldPosition="0">
        <references count="2">
          <reference field="1" count="1" selected="0">
            <x v="70"/>
          </reference>
          <reference field="2" count="1">
            <x v="52"/>
          </reference>
        </references>
      </pivotArea>
    </format>
    <format dxfId="2368">
      <pivotArea dataOnly="0" labelOnly="1" fieldPosition="0">
        <references count="2">
          <reference field="1" count="1" selected="0">
            <x v="71"/>
          </reference>
          <reference field="2" count="1">
            <x v="52"/>
          </reference>
        </references>
      </pivotArea>
    </format>
    <format dxfId="2367">
      <pivotArea dataOnly="0" labelOnly="1" fieldPosition="0">
        <references count="2">
          <reference field="1" count="1" selected="0">
            <x v="72"/>
          </reference>
          <reference field="2" count="1">
            <x v="34"/>
          </reference>
        </references>
      </pivotArea>
    </format>
    <format dxfId="2366">
      <pivotArea dataOnly="0" labelOnly="1" fieldPosition="0">
        <references count="2">
          <reference field="1" count="1" selected="0">
            <x v="73"/>
          </reference>
          <reference field="2" count="1">
            <x v="106"/>
          </reference>
        </references>
      </pivotArea>
    </format>
    <format dxfId="2365">
      <pivotArea dataOnly="0" labelOnly="1" fieldPosition="0">
        <references count="2">
          <reference field="1" count="1" selected="0">
            <x v="74"/>
          </reference>
          <reference field="2" count="1">
            <x v="52"/>
          </reference>
        </references>
      </pivotArea>
    </format>
    <format dxfId="2364">
      <pivotArea dataOnly="0" labelOnly="1" fieldPosition="0">
        <references count="2">
          <reference field="1" count="1" selected="0">
            <x v="75"/>
          </reference>
          <reference field="2" count="3">
            <x v="8"/>
            <x v="23"/>
            <x v="52"/>
          </reference>
        </references>
      </pivotArea>
    </format>
    <format dxfId="2363">
      <pivotArea dataOnly="0" labelOnly="1" fieldPosition="0">
        <references count="2">
          <reference field="1" count="1" selected="0">
            <x v="76"/>
          </reference>
          <reference field="2" count="1">
            <x v="23"/>
          </reference>
        </references>
      </pivotArea>
    </format>
    <format dxfId="2362">
      <pivotArea dataOnly="0" labelOnly="1" fieldPosition="0">
        <references count="2">
          <reference field="1" count="1" selected="0">
            <x v="77"/>
          </reference>
          <reference field="2" count="1">
            <x v="52"/>
          </reference>
        </references>
      </pivotArea>
    </format>
    <format dxfId="2361">
      <pivotArea dataOnly="0" labelOnly="1" fieldPosition="0">
        <references count="2">
          <reference field="1" count="1" selected="0">
            <x v="78"/>
          </reference>
          <reference field="2" count="1">
            <x v="53"/>
          </reference>
        </references>
      </pivotArea>
    </format>
    <format dxfId="2360">
      <pivotArea dataOnly="0" labelOnly="1" fieldPosition="0">
        <references count="2">
          <reference field="1" count="1" selected="0">
            <x v="79"/>
          </reference>
          <reference field="2" count="1">
            <x v="23"/>
          </reference>
        </references>
      </pivotArea>
    </format>
    <format dxfId="2359">
      <pivotArea dataOnly="0" labelOnly="1" fieldPosition="0">
        <references count="2">
          <reference field="1" count="1" selected="0">
            <x v="80"/>
          </reference>
          <reference field="2" count="1">
            <x v="1"/>
          </reference>
        </references>
      </pivotArea>
    </format>
    <format dxfId="2358">
      <pivotArea dataOnly="0" labelOnly="1" fieldPosition="0">
        <references count="2">
          <reference field="1" count="1" selected="0">
            <x v="81"/>
          </reference>
          <reference field="2" count="1">
            <x v="101"/>
          </reference>
        </references>
      </pivotArea>
    </format>
    <format dxfId="2357">
      <pivotArea dataOnly="0" labelOnly="1" fieldPosition="0">
        <references count="2">
          <reference field="1" count="1" selected="0">
            <x v="82"/>
          </reference>
          <reference field="2" count="1">
            <x v="1"/>
          </reference>
        </references>
      </pivotArea>
    </format>
    <format dxfId="2356">
      <pivotArea dataOnly="0" labelOnly="1" fieldPosition="0">
        <references count="2">
          <reference field="1" count="1" selected="0">
            <x v="83"/>
          </reference>
          <reference field="2" count="1">
            <x v="23"/>
          </reference>
        </references>
      </pivotArea>
    </format>
    <format dxfId="2355">
      <pivotArea dataOnly="0" labelOnly="1" fieldPosition="0">
        <references count="2">
          <reference field="1" count="1" selected="0">
            <x v="84"/>
          </reference>
          <reference field="2" count="1">
            <x v="91"/>
          </reference>
        </references>
      </pivotArea>
    </format>
    <format dxfId="2354">
      <pivotArea dataOnly="0" labelOnly="1" fieldPosition="0">
        <references count="2">
          <reference field="1" count="1" selected="0">
            <x v="85"/>
          </reference>
          <reference field="2" count="1">
            <x v="73"/>
          </reference>
        </references>
      </pivotArea>
    </format>
    <format dxfId="2353">
      <pivotArea dataOnly="0" labelOnly="1" fieldPosition="0">
        <references count="2">
          <reference field="1" count="1" selected="0">
            <x v="86"/>
          </reference>
          <reference field="2" count="1">
            <x v="52"/>
          </reference>
        </references>
      </pivotArea>
    </format>
    <format dxfId="2352">
      <pivotArea dataOnly="0" labelOnly="1" fieldPosition="0">
        <references count="2">
          <reference field="1" count="1" selected="0">
            <x v="87"/>
          </reference>
          <reference field="2" count="1">
            <x v="1"/>
          </reference>
        </references>
      </pivotArea>
    </format>
    <format dxfId="2351">
      <pivotArea dataOnly="0" labelOnly="1" fieldPosition="0">
        <references count="2">
          <reference field="1" count="1" selected="0">
            <x v="88"/>
          </reference>
          <reference field="2" count="2">
            <x v="18"/>
            <x v="106"/>
          </reference>
        </references>
      </pivotArea>
    </format>
    <format dxfId="2350">
      <pivotArea dataOnly="0" labelOnly="1" fieldPosition="0">
        <references count="2">
          <reference field="1" count="1" selected="0">
            <x v="89"/>
          </reference>
          <reference field="2" count="2">
            <x v="29"/>
            <x v="52"/>
          </reference>
        </references>
      </pivotArea>
    </format>
    <format dxfId="2349">
      <pivotArea dataOnly="0" labelOnly="1" fieldPosition="0">
        <references count="2">
          <reference field="1" count="1" selected="0">
            <x v="90"/>
          </reference>
          <reference field="2" count="1">
            <x v="63"/>
          </reference>
        </references>
      </pivotArea>
    </format>
    <format dxfId="2348">
      <pivotArea dataOnly="0" labelOnly="1" fieldPosition="0">
        <references count="2">
          <reference field="1" count="1" selected="0">
            <x v="91"/>
          </reference>
          <reference field="2" count="1">
            <x v="34"/>
          </reference>
        </references>
      </pivotArea>
    </format>
    <format dxfId="2347">
      <pivotArea dataOnly="0" labelOnly="1" fieldPosition="0">
        <references count="2">
          <reference field="1" count="1" selected="0">
            <x v="92"/>
          </reference>
          <reference field="2" count="1">
            <x v="52"/>
          </reference>
        </references>
      </pivotArea>
    </format>
    <format dxfId="2346">
      <pivotArea dataOnly="0" labelOnly="1" fieldPosition="0">
        <references count="2">
          <reference field="1" count="1" selected="0">
            <x v="93"/>
          </reference>
          <reference field="2" count="1">
            <x v="1"/>
          </reference>
        </references>
      </pivotArea>
    </format>
    <format dxfId="2345">
      <pivotArea dataOnly="0" labelOnly="1" fieldPosition="0">
        <references count="2">
          <reference field="1" count="1" selected="0">
            <x v="94"/>
          </reference>
          <reference field="2" count="1">
            <x v="52"/>
          </reference>
        </references>
      </pivotArea>
    </format>
    <format dxfId="2344">
      <pivotArea dataOnly="0" labelOnly="1" fieldPosition="0">
        <references count="2">
          <reference field="1" count="1" selected="0">
            <x v="95"/>
          </reference>
          <reference field="2" count="1">
            <x v="73"/>
          </reference>
        </references>
      </pivotArea>
    </format>
    <format dxfId="2343">
      <pivotArea dataOnly="0" labelOnly="1" fieldPosition="0">
        <references count="2">
          <reference field="1" count="1" selected="0">
            <x v="96"/>
          </reference>
          <reference field="2" count="1">
            <x v="40"/>
          </reference>
        </references>
      </pivotArea>
    </format>
    <format dxfId="2342">
      <pivotArea dataOnly="0" labelOnly="1" fieldPosition="0">
        <references count="2">
          <reference field="1" count="1" selected="0">
            <x v="97"/>
          </reference>
          <reference field="2" count="1">
            <x v="52"/>
          </reference>
        </references>
      </pivotArea>
    </format>
    <format dxfId="2341">
      <pivotArea dataOnly="0" labelOnly="1" fieldPosition="0">
        <references count="2">
          <reference field="1" count="1" selected="0">
            <x v="98"/>
          </reference>
          <reference field="2" count="1">
            <x v="103"/>
          </reference>
        </references>
      </pivotArea>
    </format>
    <format dxfId="2340">
      <pivotArea dataOnly="0" labelOnly="1" fieldPosition="0">
        <references count="2">
          <reference field="1" count="1" selected="0">
            <x v="99"/>
          </reference>
          <reference field="2" count="1">
            <x v="53"/>
          </reference>
        </references>
      </pivotArea>
    </format>
    <format dxfId="2339">
      <pivotArea dataOnly="0" labelOnly="1" fieldPosition="0">
        <references count="2">
          <reference field="1" count="1" selected="0">
            <x v="100"/>
          </reference>
          <reference field="2" count="1">
            <x v="58"/>
          </reference>
        </references>
      </pivotArea>
    </format>
    <format dxfId="2338">
      <pivotArea dataOnly="0" labelOnly="1" fieldPosition="0">
        <references count="2">
          <reference field="1" count="1" selected="0">
            <x v="101"/>
          </reference>
          <reference field="2" count="1">
            <x v="34"/>
          </reference>
        </references>
      </pivotArea>
    </format>
    <format dxfId="2337">
      <pivotArea dataOnly="0" labelOnly="1" fieldPosition="0">
        <references count="2">
          <reference field="1" count="1" selected="0">
            <x v="102"/>
          </reference>
          <reference field="2" count="1">
            <x v="51"/>
          </reference>
        </references>
      </pivotArea>
    </format>
    <format dxfId="2336">
      <pivotArea dataOnly="0" labelOnly="1" fieldPosition="0">
        <references count="2">
          <reference field="1" count="1" selected="0">
            <x v="103"/>
          </reference>
          <reference field="2" count="1">
            <x v="56"/>
          </reference>
        </references>
      </pivotArea>
    </format>
    <format dxfId="2335">
      <pivotArea dataOnly="0" labelOnly="1" fieldPosition="0">
        <references count="2">
          <reference field="1" count="1" selected="0">
            <x v="104"/>
          </reference>
          <reference field="2" count="1">
            <x v="23"/>
          </reference>
        </references>
      </pivotArea>
    </format>
    <format dxfId="2334">
      <pivotArea dataOnly="0" labelOnly="1" fieldPosition="0">
        <references count="2">
          <reference field="1" count="1" selected="0">
            <x v="105"/>
          </reference>
          <reference field="2" count="1">
            <x v="30"/>
          </reference>
        </references>
      </pivotArea>
    </format>
    <format dxfId="2333">
      <pivotArea dataOnly="0" labelOnly="1" fieldPosition="0">
        <references count="2">
          <reference field="1" count="1" selected="0">
            <x v="106"/>
          </reference>
          <reference field="2" count="1">
            <x v="1"/>
          </reference>
        </references>
      </pivotArea>
    </format>
    <format dxfId="2332">
      <pivotArea dataOnly="0" labelOnly="1" fieldPosition="0">
        <references count="2">
          <reference field="1" count="1" selected="0">
            <x v="107"/>
          </reference>
          <reference field="2" count="1">
            <x v="23"/>
          </reference>
        </references>
      </pivotArea>
    </format>
    <format dxfId="2331">
      <pivotArea dataOnly="0" labelOnly="1" fieldPosition="0">
        <references count="2">
          <reference field="1" count="1" selected="0">
            <x v="108"/>
          </reference>
          <reference field="2" count="1">
            <x v="29"/>
          </reference>
        </references>
      </pivotArea>
    </format>
    <format dxfId="2330">
      <pivotArea dataOnly="0" labelOnly="1" fieldPosition="0">
        <references count="2">
          <reference field="1" count="1" selected="0">
            <x v="109"/>
          </reference>
          <reference field="2" count="1">
            <x v="52"/>
          </reference>
        </references>
      </pivotArea>
    </format>
    <format dxfId="2329">
      <pivotArea dataOnly="0" labelOnly="1" fieldPosition="0">
        <references count="2">
          <reference field="1" count="1" selected="0">
            <x v="110"/>
          </reference>
          <reference field="2" count="1">
            <x v="59"/>
          </reference>
        </references>
      </pivotArea>
    </format>
    <format dxfId="2328">
      <pivotArea dataOnly="0" labelOnly="1" fieldPosition="0">
        <references count="2">
          <reference field="1" count="1" selected="0">
            <x v="111"/>
          </reference>
          <reference field="2" count="1">
            <x v="73"/>
          </reference>
        </references>
      </pivotArea>
    </format>
    <format dxfId="2327">
      <pivotArea dataOnly="0" labelOnly="1" fieldPosition="0">
        <references count="2">
          <reference field="1" count="1" selected="0">
            <x v="112"/>
          </reference>
          <reference field="2" count="1">
            <x v="4"/>
          </reference>
        </references>
      </pivotArea>
    </format>
    <format dxfId="2326">
      <pivotArea dataOnly="0" labelOnly="1" fieldPosition="0">
        <references count="2">
          <reference field="1" count="1" selected="0">
            <x v="113"/>
          </reference>
          <reference field="2" count="1">
            <x v="34"/>
          </reference>
        </references>
      </pivotArea>
    </format>
    <format dxfId="2325">
      <pivotArea dataOnly="0" labelOnly="1" fieldPosition="0">
        <references count="2">
          <reference field="1" count="1" selected="0">
            <x v="114"/>
          </reference>
          <reference field="2" count="1">
            <x v="52"/>
          </reference>
        </references>
      </pivotArea>
    </format>
    <format dxfId="2324">
      <pivotArea dataOnly="0" labelOnly="1" fieldPosition="0">
        <references count="2">
          <reference field="1" count="1" selected="0">
            <x v="115"/>
          </reference>
          <reference field="2" count="1">
            <x v="91"/>
          </reference>
        </references>
      </pivotArea>
    </format>
    <format dxfId="2323">
      <pivotArea dataOnly="0" labelOnly="1" fieldPosition="0">
        <references count="2">
          <reference field="1" count="1" selected="0">
            <x v="116"/>
          </reference>
          <reference field="2" count="1">
            <x v="23"/>
          </reference>
        </references>
      </pivotArea>
    </format>
    <format dxfId="2322">
      <pivotArea dataOnly="0" labelOnly="1" fieldPosition="0">
        <references count="2">
          <reference field="1" count="1" selected="0">
            <x v="117"/>
          </reference>
          <reference field="2" count="1">
            <x v="1"/>
          </reference>
        </references>
      </pivotArea>
    </format>
    <format dxfId="2321">
      <pivotArea dataOnly="0" labelOnly="1" fieldPosition="0">
        <references count="2">
          <reference field="1" count="1" selected="0">
            <x v="118"/>
          </reference>
          <reference field="2" count="1">
            <x v="23"/>
          </reference>
        </references>
      </pivotArea>
    </format>
    <format dxfId="2320">
      <pivotArea dataOnly="0" labelOnly="1" fieldPosition="0">
        <references count="2">
          <reference field="1" count="1" selected="0">
            <x v="119"/>
          </reference>
          <reference field="2" count="1">
            <x v="53"/>
          </reference>
        </references>
      </pivotArea>
    </format>
    <format dxfId="2319">
      <pivotArea dataOnly="0" labelOnly="1" fieldPosition="0">
        <references count="2">
          <reference field="1" count="1" selected="0">
            <x v="120"/>
          </reference>
          <reference field="2" count="1">
            <x v="76"/>
          </reference>
        </references>
      </pivotArea>
    </format>
    <format dxfId="2318">
      <pivotArea dataOnly="0" labelOnly="1" fieldPosition="0">
        <references count="2">
          <reference field="1" count="1" selected="0">
            <x v="121"/>
          </reference>
          <reference field="2" count="1">
            <x v="8"/>
          </reference>
        </references>
      </pivotArea>
    </format>
    <format dxfId="2317">
      <pivotArea dataOnly="0" labelOnly="1" fieldPosition="0">
        <references count="2">
          <reference field="1" count="1" selected="0">
            <x v="122"/>
          </reference>
          <reference field="2" count="1">
            <x v="52"/>
          </reference>
        </references>
      </pivotArea>
    </format>
    <format dxfId="2316">
      <pivotArea dataOnly="0" labelOnly="1" fieldPosition="0">
        <references count="2">
          <reference field="1" count="1" selected="0">
            <x v="123"/>
          </reference>
          <reference field="2" count="1">
            <x v="11"/>
          </reference>
        </references>
      </pivotArea>
    </format>
    <format dxfId="2315">
      <pivotArea dataOnly="0" labelOnly="1" fieldPosition="0">
        <references count="2">
          <reference field="1" count="1" selected="0">
            <x v="124"/>
          </reference>
          <reference field="2" count="1">
            <x v="89"/>
          </reference>
        </references>
      </pivotArea>
    </format>
    <format dxfId="2314">
      <pivotArea dataOnly="0" labelOnly="1" fieldPosition="0">
        <references count="2">
          <reference field="1" count="1" selected="0">
            <x v="125"/>
          </reference>
          <reference field="2" count="1">
            <x v="20"/>
          </reference>
        </references>
      </pivotArea>
    </format>
    <format dxfId="2313">
      <pivotArea dataOnly="0" labelOnly="1" fieldPosition="0">
        <references count="2">
          <reference field="1" count="1" selected="0">
            <x v="126"/>
          </reference>
          <reference field="2" count="3">
            <x v="23"/>
            <x v="27"/>
            <x v="52"/>
          </reference>
        </references>
      </pivotArea>
    </format>
    <format dxfId="2312">
      <pivotArea dataOnly="0" labelOnly="1" fieldPosition="0">
        <references count="2">
          <reference field="1" count="1" selected="0">
            <x v="127"/>
          </reference>
          <reference field="2" count="1">
            <x v="62"/>
          </reference>
        </references>
      </pivotArea>
    </format>
    <format dxfId="2311">
      <pivotArea dataOnly="0" labelOnly="1" fieldPosition="0">
        <references count="2">
          <reference field="1" count="1" selected="0">
            <x v="128"/>
          </reference>
          <reference field="2" count="1">
            <x v="52"/>
          </reference>
        </references>
      </pivotArea>
    </format>
    <format dxfId="2310">
      <pivotArea dataOnly="0" labelOnly="1" fieldPosition="0">
        <references count="2">
          <reference field="1" count="1" selected="0">
            <x v="129"/>
          </reference>
          <reference field="2" count="1">
            <x v="1"/>
          </reference>
        </references>
      </pivotArea>
    </format>
    <format dxfId="2309">
      <pivotArea dataOnly="0" labelOnly="1" fieldPosition="0">
        <references count="2">
          <reference field="1" count="1" selected="0">
            <x v="130"/>
          </reference>
          <reference field="2" count="1">
            <x v="61"/>
          </reference>
        </references>
      </pivotArea>
    </format>
    <format dxfId="2308">
      <pivotArea dataOnly="0" labelOnly="1" fieldPosition="0">
        <references count="2">
          <reference field="1" count="1" selected="0">
            <x v="131"/>
          </reference>
          <reference field="2" count="1">
            <x v="34"/>
          </reference>
        </references>
      </pivotArea>
    </format>
    <format dxfId="2307">
      <pivotArea dataOnly="0" labelOnly="1" fieldPosition="0">
        <references count="2">
          <reference field="1" count="1" selected="0">
            <x v="132"/>
          </reference>
          <reference field="2" count="1">
            <x v="44"/>
          </reference>
        </references>
      </pivotArea>
    </format>
    <format dxfId="2306">
      <pivotArea dataOnly="0" labelOnly="1" fieldPosition="0">
        <references count="2">
          <reference field="1" count="1" selected="0">
            <x v="133"/>
          </reference>
          <reference field="2" count="1">
            <x v="52"/>
          </reference>
        </references>
      </pivotArea>
    </format>
    <format dxfId="2305">
      <pivotArea dataOnly="0" labelOnly="1" fieldPosition="0">
        <references count="2">
          <reference field="1" count="1" selected="0">
            <x v="134"/>
          </reference>
          <reference field="2" count="1">
            <x v="53"/>
          </reference>
        </references>
      </pivotArea>
    </format>
    <format dxfId="2304">
      <pivotArea dataOnly="0" labelOnly="1" fieldPosition="0">
        <references count="2">
          <reference field="1" count="1" selected="0">
            <x v="135"/>
          </reference>
          <reference field="2" count="1">
            <x v="23"/>
          </reference>
        </references>
      </pivotArea>
    </format>
    <format dxfId="2303">
      <pivotArea dataOnly="0" labelOnly="1" fieldPosition="0">
        <references count="2">
          <reference field="1" count="1" selected="0">
            <x v="136"/>
          </reference>
          <reference field="2" count="1">
            <x v="84"/>
          </reference>
        </references>
      </pivotArea>
    </format>
    <format dxfId="2302">
      <pivotArea dataOnly="0" labelOnly="1" fieldPosition="0">
        <references count="2">
          <reference field="1" count="1" selected="0">
            <x v="137"/>
          </reference>
          <reference field="2" count="1">
            <x v="30"/>
          </reference>
        </references>
      </pivotArea>
    </format>
    <format dxfId="2301">
      <pivotArea dataOnly="0" labelOnly="1" fieldPosition="0">
        <references count="2">
          <reference field="1" count="1" selected="0">
            <x v="138"/>
          </reference>
          <reference field="2" count="1">
            <x v="53"/>
          </reference>
        </references>
      </pivotArea>
    </format>
    <format dxfId="2300">
      <pivotArea dataOnly="0" labelOnly="1" fieldPosition="0">
        <references count="2">
          <reference field="1" count="1" selected="0">
            <x v="139"/>
          </reference>
          <reference field="2" count="1">
            <x v="1"/>
          </reference>
        </references>
      </pivotArea>
    </format>
    <format dxfId="2299">
      <pivotArea dataOnly="0" labelOnly="1" fieldPosition="0">
        <references count="2">
          <reference field="1" count="1" selected="0">
            <x v="140"/>
          </reference>
          <reference field="2" count="1">
            <x v="100"/>
          </reference>
        </references>
      </pivotArea>
    </format>
    <format dxfId="2298">
      <pivotArea dataOnly="0" labelOnly="1" fieldPosition="0">
        <references count="2">
          <reference field="1" count="1" selected="0">
            <x v="141"/>
          </reference>
          <reference field="2" count="1">
            <x v="53"/>
          </reference>
        </references>
      </pivotArea>
    </format>
    <format dxfId="2297">
      <pivotArea dataOnly="0" labelOnly="1" fieldPosition="0">
        <references count="2">
          <reference field="1" count="1" selected="0">
            <x v="142"/>
          </reference>
          <reference field="2" count="1">
            <x v="52"/>
          </reference>
        </references>
      </pivotArea>
    </format>
    <format dxfId="2296">
      <pivotArea dataOnly="0" labelOnly="1" fieldPosition="0">
        <references count="2">
          <reference field="1" count="1" selected="0">
            <x v="143"/>
          </reference>
          <reference field="2" count="1">
            <x v="73"/>
          </reference>
        </references>
      </pivotArea>
    </format>
    <format dxfId="2295">
      <pivotArea dataOnly="0" labelOnly="1" fieldPosition="0">
        <references count="2">
          <reference field="1" count="1" selected="0">
            <x v="144"/>
          </reference>
          <reference field="2" count="1">
            <x v="52"/>
          </reference>
        </references>
      </pivotArea>
    </format>
    <format dxfId="2294">
      <pivotArea dataOnly="0" labelOnly="1" fieldPosition="0">
        <references count="2">
          <reference field="1" count="1" selected="0">
            <x v="145"/>
          </reference>
          <reference field="2" count="1">
            <x v="23"/>
          </reference>
        </references>
      </pivotArea>
    </format>
    <format dxfId="2293">
      <pivotArea dataOnly="0" labelOnly="1" fieldPosition="0">
        <references count="2">
          <reference field="1" count="1" selected="0">
            <x v="146"/>
          </reference>
          <reference field="2" count="1">
            <x v="73"/>
          </reference>
        </references>
      </pivotArea>
    </format>
    <format dxfId="2292">
      <pivotArea dataOnly="0" labelOnly="1" fieldPosition="0">
        <references count="2">
          <reference field="1" count="1" selected="0">
            <x v="147"/>
          </reference>
          <reference field="2" count="1">
            <x v="91"/>
          </reference>
        </references>
      </pivotArea>
    </format>
    <format dxfId="2291">
      <pivotArea dataOnly="0" labelOnly="1" fieldPosition="0">
        <references count="2">
          <reference field="1" count="1" selected="0">
            <x v="148"/>
          </reference>
          <reference field="2" count="1">
            <x v="52"/>
          </reference>
        </references>
      </pivotArea>
    </format>
    <format dxfId="2290">
      <pivotArea dataOnly="0" labelOnly="1" fieldPosition="0">
        <references count="2">
          <reference field="1" count="1" selected="0">
            <x v="149"/>
          </reference>
          <reference field="2" count="1">
            <x v="52"/>
          </reference>
        </references>
      </pivotArea>
    </format>
    <format dxfId="2289">
      <pivotArea dataOnly="0" labelOnly="1" fieldPosition="0">
        <references count="2">
          <reference field="1" count="1" selected="0">
            <x v="150"/>
          </reference>
          <reference field="2" count="1">
            <x v="44"/>
          </reference>
        </references>
      </pivotArea>
    </format>
    <format dxfId="2288">
      <pivotArea dataOnly="0" labelOnly="1" fieldPosition="0">
        <references count="2">
          <reference field="1" count="1" selected="0">
            <x v="151"/>
          </reference>
          <reference field="2" count="1">
            <x v="52"/>
          </reference>
        </references>
      </pivotArea>
    </format>
    <format dxfId="2287">
      <pivotArea dataOnly="0" labelOnly="1" fieldPosition="0">
        <references count="2">
          <reference field="1" count="1" selected="0">
            <x v="152"/>
          </reference>
          <reference field="2" count="1">
            <x v="52"/>
          </reference>
        </references>
      </pivotArea>
    </format>
    <format dxfId="2286">
      <pivotArea dataOnly="0" labelOnly="1" fieldPosition="0">
        <references count="2">
          <reference field="1" count="1" selected="0">
            <x v="153"/>
          </reference>
          <reference field="2" count="1">
            <x v="1"/>
          </reference>
        </references>
      </pivotArea>
    </format>
    <format dxfId="2285">
      <pivotArea dataOnly="0" labelOnly="1" fieldPosition="0">
        <references count="2">
          <reference field="1" count="1" selected="0">
            <x v="154"/>
          </reference>
          <reference field="2" count="1">
            <x v="6"/>
          </reference>
        </references>
      </pivotArea>
    </format>
    <format dxfId="2284">
      <pivotArea dataOnly="0" labelOnly="1" fieldPosition="0">
        <references count="2">
          <reference field="1" count="1" selected="0">
            <x v="155"/>
          </reference>
          <reference field="2" count="1">
            <x v="34"/>
          </reference>
        </references>
      </pivotArea>
    </format>
    <format dxfId="2283">
      <pivotArea dataOnly="0" labelOnly="1" fieldPosition="0">
        <references count="2">
          <reference field="1" count="1" selected="0">
            <x v="156"/>
          </reference>
          <reference field="2" count="1">
            <x v="52"/>
          </reference>
        </references>
      </pivotArea>
    </format>
    <format dxfId="2282">
      <pivotArea dataOnly="0" labelOnly="1" fieldPosition="0">
        <references count="2">
          <reference field="1" count="1" selected="0">
            <x v="157"/>
          </reference>
          <reference field="2" count="1">
            <x v="1"/>
          </reference>
        </references>
      </pivotArea>
    </format>
    <format dxfId="2281">
      <pivotArea dataOnly="0" labelOnly="1" fieldPosition="0">
        <references count="2">
          <reference field="1" count="1" selected="0">
            <x v="158"/>
          </reference>
          <reference field="2" count="1">
            <x v="106"/>
          </reference>
        </references>
      </pivotArea>
    </format>
    <format dxfId="2280">
      <pivotArea dataOnly="0" labelOnly="1" fieldPosition="0">
        <references count="2">
          <reference field="1" count="1" selected="0">
            <x v="159"/>
          </reference>
          <reference field="2" count="1">
            <x v="28"/>
          </reference>
        </references>
      </pivotArea>
    </format>
    <format dxfId="2279">
      <pivotArea dataOnly="0" labelOnly="1" fieldPosition="0">
        <references count="2">
          <reference field="1" count="1" selected="0">
            <x v="160"/>
          </reference>
          <reference field="2" count="1">
            <x v="53"/>
          </reference>
        </references>
      </pivotArea>
    </format>
    <format dxfId="2278">
      <pivotArea dataOnly="0" labelOnly="1" fieldPosition="0">
        <references count="2">
          <reference field="1" count="1" selected="0">
            <x v="161"/>
          </reference>
          <reference field="2" count="1">
            <x v="60"/>
          </reference>
        </references>
      </pivotArea>
    </format>
    <format dxfId="2277">
      <pivotArea dataOnly="0" labelOnly="1" fieldPosition="0">
        <references count="2">
          <reference field="1" count="1" selected="0">
            <x v="162"/>
          </reference>
          <reference field="2" count="1">
            <x v="1"/>
          </reference>
        </references>
      </pivotArea>
    </format>
    <format dxfId="2276">
      <pivotArea dataOnly="0" labelOnly="1" fieldPosition="0">
        <references count="2">
          <reference field="1" count="1" selected="0">
            <x v="163"/>
          </reference>
          <reference field="2" count="1">
            <x v="34"/>
          </reference>
        </references>
      </pivotArea>
    </format>
    <format dxfId="2275">
      <pivotArea dataOnly="0" labelOnly="1" fieldPosition="0">
        <references count="2">
          <reference field="1" count="1" selected="0">
            <x v="164"/>
          </reference>
          <reference field="2" count="1">
            <x v="106"/>
          </reference>
        </references>
      </pivotArea>
    </format>
    <format dxfId="2274">
      <pivotArea dataOnly="0" labelOnly="1" fieldPosition="0">
        <references count="2">
          <reference field="1" count="1" selected="0">
            <x v="165"/>
          </reference>
          <reference field="2" count="1">
            <x v="53"/>
          </reference>
        </references>
      </pivotArea>
    </format>
    <format dxfId="2273">
      <pivotArea dataOnly="0" labelOnly="1" fieldPosition="0">
        <references count="2">
          <reference field="1" count="1" selected="0">
            <x v="166"/>
          </reference>
          <reference field="2" count="1">
            <x v="32"/>
          </reference>
        </references>
      </pivotArea>
    </format>
    <format dxfId="2272">
      <pivotArea dataOnly="0" labelOnly="1" fieldPosition="0">
        <references count="2">
          <reference field="1" count="1" selected="0">
            <x v="167"/>
          </reference>
          <reference field="2" count="1">
            <x v="52"/>
          </reference>
        </references>
      </pivotArea>
    </format>
    <format dxfId="2271">
      <pivotArea dataOnly="0" labelOnly="1" fieldPosition="0">
        <references count="2">
          <reference field="1" count="1" selected="0">
            <x v="168"/>
          </reference>
          <reference field="2" count="1">
            <x v="72"/>
          </reference>
        </references>
      </pivotArea>
    </format>
    <format dxfId="2270">
      <pivotArea dataOnly="0" labelOnly="1" fieldPosition="0">
        <references count="2">
          <reference field="1" count="1" selected="0">
            <x v="169"/>
          </reference>
          <reference field="2" count="1">
            <x v="34"/>
          </reference>
        </references>
      </pivotArea>
    </format>
    <format dxfId="2269">
      <pivotArea dataOnly="0" labelOnly="1" fieldPosition="0">
        <references count="2">
          <reference field="1" count="1" selected="0">
            <x v="170"/>
          </reference>
          <reference field="2" count="1">
            <x v="34"/>
          </reference>
        </references>
      </pivotArea>
    </format>
    <format dxfId="2268">
      <pivotArea dataOnly="0" labelOnly="1" fieldPosition="0">
        <references count="2">
          <reference field="1" count="1" selected="0">
            <x v="171"/>
          </reference>
          <reference field="2" count="1">
            <x v="8"/>
          </reference>
        </references>
      </pivotArea>
    </format>
    <format dxfId="2267">
      <pivotArea dataOnly="0" labelOnly="1" fieldPosition="0">
        <references count="2">
          <reference field="1" count="1" selected="0">
            <x v="172"/>
          </reference>
          <reference field="2" count="1">
            <x v="23"/>
          </reference>
        </references>
      </pivotArea>
    </format>
    <format dxfId="2266">
      <pivotArea dataOnly="0" labelOnly="1" fieldPosition="0">
        <references count="2">
          <reference field="1" count="1" selected="0">
            <x v="173"/>
          </reference>
          <reference field="2" count="1">
            <x v="53"/>
          </reference>
        </references>
      </pivotArea>
    </format>
    <format dxfId="2265">
      <pivotArea dataOnly="0" labelOnly="1" fieldPosition="0">
        <references count="2">
          <reference field="1" count="1" selected="0">
            <x v="174"/>
          </reference>
          <reference field="2" count="2">
            <x v="1"/>
            <x v="52"/>
          </reference>
        </references>
      </pivotArea>
    </format>
    <format dxfId="2264">
      <pivotArea dataOnly="0" labelOnly="1" fieldPosition="0">
        <references count="2">
          <reference field="1" count="1" selected="0">
            <x v="175"/>
          </reference>
          <reference field="2" count="1">
            <x v="52"/>
          </reference>
        </references>
      </pivotArea>
    </format>
    <format dxfId="2263">
      <pivotArea dataOnly="0" labelOnly="1" fieldPosition="0">
        <references count="2">
          <reference field="1" count="1" selected="0">
            <x v="176"/>
          </reference>
          <reference field="2" count="1">
            <x v="52"/>
          </reference>
        </references>
      </pivotArea>
    </format>
    <format dxfId="2262">
      <pivotArea dataOnly="0" labelOnly="1" fieldPosition="0">
        <references count="2">
          <reference field="1" count="1" selected="0">
            <x v="177"/>
          </reference>
          <reference field="2" count="1">
            <x v="23"/>
          </reference>
        </references>
      </pivotArea>
    </format>
    <format dxfId="2261">
      <pivotArea dataOnly="0" labelOnly="1" fieldPosition="0">
        <references count="2">
          <reference field="1" count="1" selected="0">
            <x v="178"/>
          </reference>
          <reference field="2" count="1">
            <x v="29"/>
          </reference>
        </references>
      </pivotArea>
    </format>
    <format dxfId="2260">
      <pivotArea dataOnly="0" labelOnly="1" fieldPosition="0">
        <references count="2">
          <reference field="1" count="1" selected="0">
            <x v="179"/>
          </reference>
          <reference field="2" count="1">
            <x v="47"/>
          </reference>
        </references>
      </pivotArea>
    </format>
    <format dxfId="2259">
      <pivotArea dataOnly="0" labelOnly="1" fieldPosition="0">
        <references count="2">
          <reference field="1" count="1" selected="0">
            <x v="180"/>
          </reference>
          <reference field="2" count="1">
            <x v="1"/>
          </reference>
        </references>
      </pivotArea>
    </format>
    <format dxfId="2258">
      <pivotArea dataOnly="0" labelOnly="1" fieldPosition="0">
        <references count="2">
          <reference field="1" count="1" selected="0">
            <x v="181"/>
          </reference>
          <reference field="2" count="1">
            <x v="91"/>
          </reference>
        </references>
      </pivotArea>
    </format>
    <format dxfId="2257">
      <pivotArea dataOnly="0" labelOnly="1" fieldPosition="0">
        <references count="2">
          <reference field="1" count="1" selected="0">
            <x v="182"/>
          </reference>
          <reference field="2" count="1">
            <x v="41"/>
          </reference>
        </references>
      </pivotArea>
    </format>
    <format dxfId="2256">
      <pivotArea dataOnly="0" labelOnly="1" fieldPosition="0">
        <references count="2">
          <reference field="1" count="1" selected="0">
            <x v="183"/>
          </reference>
          <reference field="2" count="1">
            <x v="52"/>
          </reference>
        </references>
      </pivotArea>
    </format>
    <format dxfId="2255">
      <pivotArea dataOnly="0" labelOnly="1" fieldPosition="0">
        <references count="2">
          <reference field="1" count="1" selected="0">
            <x v="184"/>
          </reference>
          <reference field="2" count="1">
            <x v="91"/>
          </reference>
        </references>
      </pivotArea>
    </format>
    <format dxfId="2254">
      <pivotArea dataOnly="0" labelOnly="1" fieldPosition="0">
        <references count="2">
          <reference field="1" count="1" selected="0">
            <x v="185"/>
          </reference>
          <reference field="2" count="1">
            <x v="53"/>
          </reference>
        </references>
      </pivotArea>
    </format>
    <format dxfId="2253">
      <pivotArea dataOnly="0" labelOnly="1" fieldPosition="0">
        <references count="2">
          <reference field="1" count="1" selected="0">
            <x v="186"/>
          </reference>
          <reference field="2" count="1">
            <x v="55"/>
          </reference>
        </references>
      </pivotArea>
    </format>
    <format dxfId="2252">
      <pivotArea dataOnly="0" labelOnly="1" fieldPosition="0">
        <references count="2">
          <reference field="1" count="1" selected="0">
            <x v="187"/>
          </reference>
          <reference field="2" count="1">
            <x v="98"/>
          </reference>
        </references>
      </pivotArea>
    </format>
    <format dxfId="2251">
      <pivotArea dataOnly="0" labelOnly="1" fieldPosition="0">
        <references count="2">
          <reference field="1" count="1" selected="0">
            <x v="188"/>
          </reference>
          <reference field="2" count="1">
            <x v="52"/>
          </reference>
        </references>
      </pivotArea>
    </format>
    <format dxfId="2250">
      <pivotArea dataOnly="0" labelOnly="1" fieldPosition="0">
        <references count="2">
          <reference field="1" count="1" selected="0">
            <x v="189"/>
          </reference>
          <reference field="2" count="1">
            <x v="52"/>
          </reference>
        </references>
      </pivotArea>
    </format>
    <format dxfId="2249">
      <pivotArea dataOnly="0" labelOnly="1" fieldPosition="0">
        <references count="2">
          <reference field="1" count="1" selected="0">
            <x v="190"/>
          </reference>
          <reference field="2" count="1">
            <x v="52"/>
          </reference>
        </references>
      </pivotArea>
    </format>
    <format dxfId="2248">
      <pivotArea dataOnly="0" labelOnly="1" fieldPosition="0">
        <references count="2">
          <reference field="1" count="1" selected="0">
            <x v="191"/>
          </reference>
          <reference field="2" count="1">
            <x v="53"/>
          </reference>
        </references>
      </pivotArea>
    </format>
    <format dxfId="2247">
      <pivotArea dataOnly="0" labelOnly="1" fieldPosition="0">
        <references count="2">
          <reference field="1" count="1" selected="0">
            <x v="192"/>
          </reference>
          <reference field="2" count="1">
            <x v="53"/>
          </reference>
        </references>
      </pivotArea>
    </format>
    <format dxfId="2246">
      <pivotArea dataOnly="0" labelOnly="1" fieldPosition="0">
        <references count="2">
          <reference field="1" count="1" selected="0">
            <x v="193"/>
          </reference>
          <reference field="2" count="1">
            <x v="52"/>
          </reference>
        </references>
      </pivotArea>
    </format>
    <format dxfId="2245">
      <pivotArea dataOnly="0" labelOnly="1" fieldPosition="0">
        <references count="2">
          <reference field="1" count="1" selected="0">
            <x v="194"/>
          </reference>
          <reference field="2" count="1">
            <x v="81"/>
          </reference>
        </references>
      </pivotArea>
    </format>
    <format dxfId="2244">
      <pivotArea dataOnly="0" labelOnly="1" fieldPosition="0">
        <references count="2">
          <reference field="1" count="1" selected="0">
            <x v="195"/>
          </reference>
          <reference field="2" count="1">
            <x v="52"/>
          </reference>
        </references>
      </pivotArea>
    </format>
    <format dxfId="2243">
      <pivotArea dataOnly="0" labelOnly="1" fieldPosition="0">
        <references count="2">
          <reference field="1" count="1" selected="0">
            <x v="196"/>
          </reference>
          <reference field="2" count="1">
            <x v="34"/>
          </reference>
        </references>
      </pivotArea>
    </format>
    <format dxfId="2242">
      <pivotArea dataOnly="0" labelOnly="1" fieldPosition="0">
        <references count="2">
          <reference field="1" count="1" selected="0">
            <x v="197"/>
          </reference>
          <reference field="2" count="1">
            <x v="53"/>
          </reference>
        </references>
      </pivotArea>
    </format>
    <format dxfId="2241">
      <pivotArea dataOnly="0" labelOnly="1" fieldPosition="0">
        <references count="2">
          <reference field="1" count="1" selected="0">
            <x v="198"/>
          </reference>
          <reference field="2" count="1">
            <x v="53"/>
          </reference>
        </references>
      </pivotArea>
    </format>
    <format dxfId="2240">
      <pivotArea dataOnly="0" labelOnly="1" fieldPosition="0">
        <references count="2">
          <reference field="1" count="1" selected="0">
            <x v="199"/>
          </reference>
          <reference field="2" count="1">
            <x v="23"/>
          </reference>
        </references>
      </pivotArea>
    </format>
    <format dxfId="2239">
      <pivotArea dataOnly="0" labelOnly="1" fieldPosition="0">
        <references count="2">
          <reference field="1" count="1" selected="0">
            <x v="200"/>
          </reference>
          <reference field="2" count="1">
            <x v="23"/>
          </reference>
        </references>
      </pivotArea>
    </format>
    <format dxfId="2238">
      <pivotArea dataOnly="0" labelOnly="1" fieldPosition="0">
        <references count="2">
          <reference field="1" count="1" selected="0">
            <x v="201"/>
          </reference>
          <reference field="2" count="1">
            <x v="23"/>
          </reference>
        </references>
      </pivotArea>
    </format>
    <format dxfId="2237">
      <pivotArea dataOnly="0" labelOnly="1" fieldPosition="0">
        <references count="2">
          <reference field="1" count="1" selected="0">
            <x v="202"/>
          </reference>
          <reference field="2" count="1">
            <x v="52"/>
          </reference>
        </references>
      </pivotArea>
    </format>
    <format dxfId="2236">
      <pivotArea dataOnly="0" labelOnly="1" fieldPosition="0">
        <references count="2">
          <reference field="1" count="1" selected="0">
            <x v="203"/>
          </reference>
          <reference field="2" count="1">
            <x v="1"/>
          </reference>
        </references>
      </pivotArea>
    </format>
    <format dxfId="2235">
      <pivotArea dataOnly="0" labelOnly="1" fieldPosition="0">
        <references count="2">
          <reference field="1" count="1" selected="0">
            <x v="204"/>
          </reference>
          <reference field="2" count="1">
            <x v="66"/>
          </reference>
        </references>
      </pivotArea>
    </format>
    <format dxfId="2234">
      <pivotArea dataOnly="0" labelOnly="1" fieldPosition="0">
        <references count="2">
          <reference field="1" count="1" selected="0">
            <x v="205"/>
          </reference>
          <reference field="2" count="1">
            <x v="52"/>
          </reference>
        </references>
      </pivotArea>
    </format>
    <format dxfId="2233">
      <pivotArea dataOnly="0" labelOnly="1" fieldPosition="0">
        <references count="2">
          <reference field="1" count="1" selected="0">
            <x v="206"/>
          </reference>
          <reference field="2" count="1">
            <x v="31"/>
          </reference>
        </references>
      </pivotArea>
    </format>
    <format dxfId="2232">
      <pivotArea dataOnly="0" labelOnly="1" fieldPosition="0">
        <references count="2">
          <reference field="1" count="1" selected="0">
            <x v="207"/>
          </reference>
          <reference field="2" count="1">
            <x v="53"/>
          </reference>
        </references>
      </pivotArea>
    </format>
    <format dxfId="2231">
      <pivotArea dataOnly="0" labelOnly="1" fieldPosition="0">
        <references count="2">
          <reference field="1" count="1" selected="0">
            <x v="208"/>
          </reference>
          <reference field="2" count="1">
            <x v="8"/>
          </reference>
        </references>
      </pivotArea>
    </format>
    <format dxfId="2230">
      <pivotArea dataOnly="0" labelOnly="1" fieldPosition="0">
        <references count="2">
          <reference field="1" count="1" selected="0">
            <x v="209"/>
          </reference>
          <reference field="2" count="1">
            <x v="52"/>
          </reference>
        </references>
      </pivotArea>
    </format>
    <format dxfId="2229">
      <pivotArea dataOnly="0" labelOnly="1" fieldPosition="0">
        <references count="2">
          <reference field="1" count="1" selected="0">
            <x v="210"/>
          </reference>
          <reference field="2" count="1">
            <x v="104"/>
          </reference>
        </references>
      </pivotArea>
    </format>
    <format dxfId="2228">
      <pivotArea dataOnly="0" labelOnly="1" fieldPosition="0">
        <references count="2">
          <reference field="1" count="1" selected="0">
            <x v="211"/>
          </reference>
          <reference field="2" count="1">
            <x v="53"/>
          </reference>
        </references>
      </pivotArea>
    </format>
    <format dxfId="2227">
      <pivotArea dataOnly="0" labelOnly="1" fieldPosition="0">
        <references count="2">
          <reference field="1" count="1" selected="0">
            <x v="212"/>
          </reference>
          <reference field="2" count="1">
            <x v="53"/>
          </reference>
        </references>
      </pivotArea>
    </format>
    <format dxfId="2226">
      <pivotArea dataOnly="0" labelOnly="1" fieldPosition="0">
        <references count="2">
          <reference field="1" count="1" selected="0">
            <x v="213"/>
          </reference>
          <reference field="2" count="1">
            <x v="93"/>
          </reference>
        </references>
      </pivotArea>
    </format>
    <format dxfId="2225">
      <pivotArea dataOnly="0" labelOnly="1" fieldPosition="0">
        <references count="2">
          <reference field="1" count="1" selected="0">
            <x v="214"/>
          </reference>
          <reference field="2" count="1">
            <x v="66"/>
          </reference>
        </references>
      </pivotArea>
    </format>
    <format dxfId="2224">
      <pivotArea dataOnly="0" labelOnly="1" fieldPosition="0">
        <references count="2">
          <reference field="1" count="1" selected="0">
            <x v="215"/>
          </reference>
          <reference field="2" count="1">
            <x v="52"/>
          </reference>
        </references>
      </pivotArea>
    </format>
    <format dxfId="2223">
      <pivotArea dataOnly="0" labelOnly="1" fieldPosition="0">
        <references count="2">
          <reference field="1" count="1" selected="0">
            <x v="216"/>
          </reference>
          <reference field="2" count="1">
            <x v="45"/>
          </reference>
        </references>
      </pivotArea>
    </format>
    <format dxfId="2222">
      <pivotArea dataOnly="0" labelOnly="1" fieldPosition="0">
        <references count="2">
          <reference field="1" count="1" selected="0">
            <x v="217"/>
          </reference>
          <reference field="2" count="1">
            <x v="52"/>
          </reference>
        </references>
      </pivotArea>
    </format>
    <format dxfId="2221">
      <pivotArea dataOnly="0" labelOnly="1" fieldPosition="0">
        <references count="2">
          <reference field="1" count="1" selected="0">
            <x v="218"/>
          </reference>
          <reference field="2" count="1">
            <x v="52"/>
          </reference>
        </references>
      </pivotArea>
    </format>
    <format dxfId="2220">
      <pivotArea dataOnly="0" labelOnly="1" fieldPosition="0">
        <references count="2">
          <reference field="1" count="1" selected="0">
            <x v="219"/>
          </reference>
          <reference field="2" count="1">
            <x v="52"/>
          </reference>
        </references>
      </pivotArea>
    </format>
    <format dxfId="2219">
      <pivotArea dataOnly="0" labelOnly="1" fieldPosition="0">
        <references count="2">
          <reference field="1" count="1" selected="0">
            <x v="220"/>
          </reference>
          <reference field="2" count="1">
            <x v="1"/>
          </reference>
        </references>
      </pivotArea>
    </format>
    <format dxfId="2218">
      <pivotArea dataOnly="0" labelOnly="1" fieldPosition="0">
        <references count="2">
          <reference field="1" count="1" selected="0">
            <x v="221"/>
          </reference>
          <reference field="2" count="1">
            <x v="53"/>
          </reference>
        </references>
      </pivotArea>
    </format>
    <format dxfId="2217">
      <pivotArea dataOnly="0" labelOnly="1" fieldPosition="0">
        <references count="2">
          <reference field="1" count="1" selected="0">
            <x v="222"/>
          </reference>
          <reference field="2" count="1">
            <x v="52"/>
          </reference>
        </references>
      </pivotArea>
    </format>
    <format dxfId="2216">
      <pivotArea dataOnly="0" labelOnly="1" fieldPosition="0">
        <references count="2">
          <reference field="1" count="1" selected="0">
            <x v="223"/>
          </reference>
          <reference field="2" count="1">
            <x v="53"/>
          </reference>
        </references>
      </pivotArea>
    </format>
    <format dxfId="2215">
      <pivotArea dataOnly="0" labelOnly="1" fieldPosition="0">
        <references count="2">
          <reference field="1" count="1" selected="0">
            <x v="224"/>
          </reference>
          <reference field="2" count="1">
            <x v="74"/>
          </reference>
        </references>
      </pivotArea>
    </format>
    <format dxfId="2214">
      <pivotArea dataOnly="0" labelOnly="1" fieldPosition="0">
        <references count="2">
          <reference field="1" count="1" selected="0">
            <x v="225"/>
          </reference>
          <reference field="2" count="1">
            <x v="43"/>
          </reference>
        </references>
      </pivotArea>
    </format>
    <format dxfId="2213">
      <pivotArea dataOnly="0" labelOnly="1" fieldPosition="0">
        <references count="2">
          <reference field="1" count="1" selected="0">
            <x v="226"/>
          </reference>
          <reference field="2" count="1">
            <x v="1"/>
          </reference>
        </references>
      </pivotArea>
    </format>
    <format dxfId="2212">
      <pivotArea dataOnly="0" labelOnly="1" fieldPosition="0">
        <references count="2">
          <reference field="1" count="1" selected="0">
            <x v="227"/>
          </reference>
          <reference field="2" count="1">
            <x v="1"/>
          </reference>
        </references>
      </pivotArea>
    </format>
    <format dxfId="2211">
      <pivotArea dataOnly="0" labelOnly="1" fieldPosition="0">
        <references count="2">
          <reference field="1" count="1" selected="0">
            <x v="228"/>
          </reference>
          <reference field="2" count="1">
            <x v="96"/>
          </reference>
        </references>
      </pivotArea>
    </format>
    <format dxfId="2210">
      <pivotArea dataOnly="0" labelOnly="1" fieldPosition="0">
        <references count="2">
          <reference field="1" count="1" selected="0">
            <x v="229"/>
          </reference>
          <reference field="2" count="1">
            <x v="18"/>
          </reference>
        </references>
      </pivotArea>
    </format>
    <format dxfId="2209">
      <pivotArea dataOnly="0" labelOnly="1" fieldPosition="0">
        <references count="2">
          <reference field="1" count="1" selected="0">
            <x v="230"/>
          </reference>
          <reference field="2" count="1">
            <x v="55"/>
          </reference>
        </references>
      </pivotArea>
    </format>
    <format dxfId="2208">
      <pivotArea dataOnly="0" labelOnly="1" fieldPosition="0">
        <references count="2">
          <reference field="1" count="1" selected="0">
            <x v="231"/>
          </reference>
          <reference field="2" count="1">
            <x v="52"/>
          </reference>
        </references>
      </pivotArea>
    </format>
    <format dxfId="2207">
      <pivotArea dataOnly="0" labelOnly="1" fieldPosition="0">
        <references count="2">
          <reference field="1" count="1" selected="0">
            <x v="232"/>
          </reference>
          <reference field="2" count="1">
            <x v="53"/>
          </reference>
        </references>
      </pivotArea>
    </format>
    <format dxfId="2206">
      <pivotArea dataOnly="0" labelOnly="1" fieldPosition="0">
        <references count="2">
          <reference field="1" count="1" selected="0">
            <x v="233"/>
          </reference>
          <reference field="2" count="1">
            <x v="34"/>
          </reference>
        </references>
      </pivotArea>
    </format>
    <format dxfId="2205">
      <pivotArea dataOnly="0" labelOnly="1" fieldPosition="0">
        <references count="2">
          <reference field="1" count="1" selected="0">
            <x v="234"/>
          </reference>
          <reference field="2" count="1">
            <x v="1"/>
          </reference>
        </references>
      </pivotArea>
    </format>
    <format dxfId="2204">
      <pivotArea dataOnly="0" labelOnly="1" fieldPosition="0">
        <references count="2">
          <reference field="1" count="1" selected="0">
            <x v="235"/>
          </reference>
          <reference field="2" count="1">
            <x v="53"/>
          </reference>
        </references>
      </pivotArea>
    </format>
    <format dxfId="2203">
      <pivotArea dataOnly="0" labelOnly="1" fieldPosition="0">
        <references count="2">
          <reference field="1" count="1" selected="0">
            <x v="236"/>
          </reference>
          <reference field="2" count="1">
            <x v="1"/>
          </reference>
        </references>
      </pivotArea>
    </format>
    <format dxfId="2202">
      <pivotArea dataOnly="0" labelOnly="1" fieldPosition="0">
        <references count="2">
          <reference field="1" count="1" selected="0">
            <x v="237"/>
          </reference>
          <reference field="2" count="1">
            <x v="52"/>
          </reference>
        </references>
      </pivotArea>
    </format>
    <format dxfId="2201">
      <pivotArea dataOnly="0" labelOnly="1" fieldPosition="0">
        <references count="2">
          <reference field="1" count="1" selected="0">
            <x v="238"/>
          </reference>
          <reference field="2" count="1">
            <x v="52"/>
          </reference>
        </references>
      </pivotArea>
    </format>
    <format dxfId="2200">
      <pivotArea dataOnly="0" labelOnly="1" fieldPosition="0">
        <references count="2">
          <reference field="1" count="1" selected="0">
            <x v="239"/>
          </reference>
          <reference field="2" count="1">
            <x v="23"/>
          </reference>
        </references>
      </pivotArea>
    </format>
    <format dxfId="2199">
      <pivotArea dataOnly="0" labelOnly="1" fieldPosition="0">
        <references count="2">
          <reference field="1" count="1" selected="0">
            <x v="240"/>
          </reference>
          <reference field="2" count="1">
            <x v="34"/>
          </reference>
        </references>
      </pivotArea>
    </format>
    <format dxfId="2198">
      <pivotArea dataOnly="0" labelOnly="1" fieldPosition="0">
        <references count="2">
          <reference field="1" count="1" selected="0">
            <x v="241"/>
          </reference>
          <reference field="2" count="1">
            <x v="34"/>
          </reference>
        </references>
      </pivotArea>
    </format>
    <format dxfId="2197">
      <pivotArea dataOnly="0" labelOnly="1" fieldPosition="0">
        <references count="2">
          <reference field="1" count="1" selected="0">
            <x v="242"/>
          </reference>
          <reference field="2" count="1">
            <x v="23"/>
          </reference>
        </references>
      </pivotArea>
    </format>
    <format dxfId="2196">
      <pivotArea dataOnly="0" labelOnly="1" fieldPosition="0">
        <references count="2">
          <reference field="1" count="1" selected="0">
            <x v="243"/>
          </reference>
          <reference field="2" count="1">
            <x v="53"/>
          </reference>
        </references>
      </pivotArea>
    </format>
    <format dxfId="2195">
      <pivotArea dataOnly="0" labelOnly="1" fieldPosition="0">
        <references count="2">
          <reference field="1" count="1" selected="0">
            <x v="244"/>
          </reference>
          <reference field="2" count="1">
            <x v="34"/>
          </reference>
        </references>
      </pivotArea>
    </format>
    <format dxfId="2194">
      <pivotArea dataOnly="0" labelOnly="1" fieldPosition="0">
        <references count="2">
          <reference field="1" count="1" selected="0">
            <x v="245"/>
          </reference>
          <reference field="2" count="1">
            <x v="65"/>
          </reference>
        </references>
      </pivotArea>
    </format>
    <format dxfId="2193">
      <pivotArea dataOnly="0" labelOnly="1" fieldPosition="0">
        <references count="2">
          <reference field="1" count="1" selected="0">
            <x v="246"/>
          </reference>
          <reference field="2" count="1">
            <x v="23"/>
          </reference>
        </references>
      </pivotArea>
    </format>
    <format dxfId="2192">
      <pivotArea dataOnly="0" labelOnly="1" fieldPosition="0">
        <references count="2">
          <reference field="1" count="1" selected="0">
            <x v="247"/>
          </reference>
          <reference field="2" count="1">
            <x v="6"/>
          </reference>
        </references>
      </pivotArea>
    </format>
    <format dxfId="2191">
      <pivotArea dataOnly="0" labelOnly="1" fieldPosition="0">
        <references count="2">
          <reference field="1" count="1" selected="0">
            <x v="248"/>
          </reference>
          <reference field="2" count="1">
            <x v="23"/>
          </reference>
        </references>
      </pivotArea>
    </format>
    <format dxfId="2190">
      <pivotArea dataOnly="0" labelOnly="1" fieldPosition="0">
        <references count="2">
          <reference field="1" count="1" selected="0">
            <x v="249"/>
          </reference>
          <reference field="2" count="1">
            <x v="86"/>
          </reference>
        </references>
      </pivotArea>
    </format>
    <format dxfId="2189">
      <pivotArea dataOnly="0" labelOnly="1" fieldPosition="0">
        <references count="2">
          <reference field="1" count="1" selected="0">
            <x v="250"/>
          </reference>
          <reference field="2" count="1">
            <x v="11"/>
          </reference>
        </references>
      </pivotArea>
    </format>
    <format dxfId="2188">
      <pivotArea dataOnly="0" labelOnly="1" fieldPosition="0">
        <references count="2">
          <reference field="1" count="1" selected="0">
            <x v="251"/>
          </reference>
          <reference field="2" count="1">
            <x v="53"/>
          </reference>
        </references>
      </pivotArea>
    </format>
    <format dxfId="2187">
      <pivotArea dataOnly="0" labelOnly="1" fieldPosition="0">
        <references count="2">
          <reference field="1" count="1" selected="0">
            <x v="252"/>
          </reference>
          <reference field="2" count="1">
            <x v="34"/>
          </reference>
        </references>
      </pivotArea>
    </format>
    <format dxfId="2186">
      <pivotArea dataOnly="0" labelOnly="1" fieldPosition="0">
        <references count="2">
          <reference field="1" count="1" selected="0">
            <x v="253"/>
          </reference>
          <reference field="2" count="1">
            <x v="34"/>
          </reference>
        </references>
      </pivotArea>
    </format>
    <format dxfId="2185">
      <pivotArea dataOnly="0" labelOnly="1" fieldPosition="0">
        <references count="2">
          <reference field="1" count="1" selected="0">
            <x v="254"/>
          </reference>
          <reference field="2" count="1">
            <x v="101"/>
          </reference>
        </references>
      </pivotArea>
    </format>
    <format dxfId="2184">
      <pivotArea dataOnly="0" labelOnly="1" fieldPosition="0">
        <references count="2">
          <reference field="1" count="1" selected="0">
            <x v="255"/>
          </reference>
          <reference field="2" count="1">
            <x v="0"/>
          </reference>
        </references>
      </pivotArea>
    </format>
    <format dxfId="2183">
      <pivotArea dataOnly="0" labelOnly="1" fieldPosition="0">
        <references count="2">
          <reference field="1" count="1" selected="0">
            <x v="256"/>
          </reference>
          <reference field="2" count="1">
            <x v="34"/>
          </reference>
        </references>
      </pivotArea>
    </format>
    <format dxfId="2182">
      <pivotArea dataOnly="0" labelOnly="1" fieldPosition="0">
        <references count="2">
          <reference field="1" count="1" selected="0">
            <x v="257"/>
          </reference>
          <reference field="2" count="1">
            <x v="34"/>
          </reference>
        </references>
      </pivotArea>
    </format>
    <format dxfId="2181">
      <pivotArea dataOnly="0" labelOnly="1" fieldPosition="0">
        <references count="2">
          <reference field="1" count="1" selected="0">
            <x v="258"/>
          </reference>
          <reference field="2" count="1">
            <x v="43"/>
          </reference>
        </references>
      </pivotArea>
    </format>
    <format dxfId="2180">
      <pivotArea dataOnly="0" labelOnly="1" fieldPosition="0">
        <references count="2">
          <reference field="1" count="1" selected="0">
            <x v="259"/>
          </reference>
          <reference field="2" count="1">
            <x v="66"/>
          </reference>
        </references>
      </pivotArea>
    </format>
    <format dxfId="2179">
      <pivotArea dataOnly="0" labelOnly="1" fieldPosition="0">
        <references count="2">
          <reference field="1" count="1" selected="0">
            <x v="260"/>
          </reference>
          <reference field="2" count="1">
            <x v="24"/>
          </reference>
        </references>
      </pivotArea>
    </format>
    <format dxfId="2178">
      <pivotArea dataOnly="0" labelOnly="1" fieldPosition="0">
        <references count="2">
          <reference field="1" count="1" selected="0">
            <x v="261"/>
          </reference>
          <reference field="2" count="1">
            <x v="81"/>
          </reference>
        </references>
      </pivotArea>
    </format>
    <format dxfId="2177">
      <pivotArea dataOnly="0" labelOnly="1" fieldPosition="0">
        <references count="2">
          <reference field="1" count="1" selected="0">
            <x v="262"/>
          </reference>
          <reference field="2" count="1">
            <x v="34"/>
          </reference>
        </references>
      </pivotArea>
    </format>
    <format dxfId="2176">
      <pivotArea dataOnly="0" labelOnly="1" fieldPosition="0">
        <references count="2">
          <reference field="1" count="1" selected="0">
            <x v="263"/>
          </reference>
          <reference field="2" count="1">
            <x v="23"/>
          </reference>
        </references>
      </pivotArea>
    </format>
    <format dxfId="2175">
      <pivotArea dataOnly="0" labelOnly="1" fieldPosition="0">
        <references count="2">
          <reference field="1" count="1" selected="0">
            <x v="264"/>
          </reference>
          <reference field="2" count="1">
            <x v="53"/>
          </reference>
        </references>
      </pivotArea>
    </format>
    <format dxfId="2174">
      <pivotArea dataOnly="0" labelOnly="1" fieldPosition="0">
        <references count="2">
          <reference field="1" count="1" selected="0">
            <x v="265"/>
          </reference>
          <reference field="2" count="1">
            <x v="34"/>
          </reference>
        </references>
      </pivotArea>
    </format>
    <format dxfId="2173">
      <pivotArea dataOnly="0" labelOnly="1" fieldPosition="0">
        <references count="2">
          <reference field="1" count="1" selected="0">
            <x v="266"/>
          </reference>
          <reference field="2" count="1">
            <x v="1"/>
          </reference>
        </references>
      </pivotArea>
    </format>
    <format dxfId="2172">
      <pivotArea dataOnly="0" labelOnly="1" fieldPosition="0">
        <references count="2">
          <reference field="1" count="1" selected="0">
            <x v="267"/>
          </reference>
          <reference field="2" count="1">
            <x v="52"/>
          </reference>
        </references>
      </pivotArea>
    </format>
    <format dxfId="2171">
      <pivotArea dataOnly="0" labelOnly="1" fieldPosition="0">
        <references count="2">
          <reference field="1" count="1" selected="0">
            <x v="268"/>
          </reference>
          <reference field="2" count="1">
            <x v="34"/>
          </reference>
        </references>
      </pivotArea>
    </format>
    <format dxfId="2170">
      <pivotArea dataOnly="0" labelOnly="1" fieldPosition="0">
        <references count="2">
          <reference field="1" count="1" selected="0">
            <x v="269"/>
          </reference>
          <reference field="2" count="2">
            <x v="23"/>
            <x v="34"/>
          </reference>
        </references>
      </pivotArea>
    </format>
    <format dxfId="2169">
      <pivotArea dataOnly="0" labelOnly="1" fieldPosition="0">
        <references count="2">
          <reference field="1" count="1" selected="0">
            <x v="270"/>
          </reference>
          <reference field="2" count="1">
            <x v="73"/>
          </reference>
        </references>
      </pivotArea>
    </format>
    <format dxfId="2168">
      <pivotArea dataOnly="0" labelOnly="1" fieldPosition="0">
        <references count="2">
          <reference field="1" count="1" selected="0">
            <x v="271"/>
          </reference>
          <reference field="2" count="1">
            <x v="23"/>
          </reference>
        </references>
      </pivotArea>
    </format>
    <format dxfId="2167">
      <pivotArea dataOnly="0" labelOnly="1" fieldPosition="0">
        <references count="2">
          <reference field="1" count="1" selected="0">
            <x v="272"/>
          </reference>
          <reference field="2" count="1">
            <x v="37"/>
          </reference>
        </references>
      </pivotArea>
    </format>
    <format dxfId="2166">
      <pivotArea dataOnly="0" labelOnly="1" fieldPosition="0">
        <references count="2">
          <reference field="1" count="1" selected="0">
            <x v="273"/>
          </reference>
          <reference field="2" count="1">
            <x v="35"/>
          </reference>
        </references>
      </pivotArea>
    </format>
    <format dxfId="2165">
      <pivotArea dataOnly="0" labelOnly="1" fieldPosition="0">
        <references count="2">
          <reference field="1" count="1" selected="0">
            <x v="274"/>
          </reference>
          <reference field="2" count="1">
            <x v="89"/>
          </reference>
        </references>
      </pivotArea>
    </format>
    <format dxfId="2164">
      <pivotArea dataOnly="0" labelOnly="1" fieldPosition="0">
        <references count="2">
          <reference field="1" count="1" selected="0">
            <x v="275"/>
          </reference>
          <reference field="2" count="1">
            <x v="9"/>
          </reference>
        </references>
      </pivotArea>
    </format>
    <format dxfId="2163">
      <pivotArea dataOnly="0" labelOnly="1" fieldPosition="0">
        <references count="2">
          <reference field="1" count="1" selected="0">
            <x v="276"/>
          </reference>
          <reference field="2" count="1">
            <x v="53"/>
          </reference>
        </references>
      </pivotArea>
    </format>
    <format dxfId="2162">
      <pivotArea dataOnly="0" labelOnly="1" fieldPosition="0">
        <references count="2">
          <reference field="1" count="1" selected="0">
            <x v="277"/>
          </reference>
          <reference field="2" count="1">
            <x v="87"/>
          </reference>
        </references>
      </pivotArea>
    </format>
    <format dxfId="2161">
      <pivotArea dataOnly="0" labelOnly="1" fieldPosition="0">
        <references count="2">
          <reference field="1" count="1" selected="0">
            <x v="278"/>
          </reference>
          <reference field="2" count="1">
            <x v="55"/>
          </reference>
        </references>
      </pivotArea>
    </format>
    <format dxfId="2160">
      <pivotArea dataOnly="0" labelOnly="1" fieldPosition="0">
        <references count="2">
          <reference field="1" count="1" selected="0">
            <x v="279"/>
          </reference>
          <reference field="2" count="1">
            <x v="14"/>
          </reference>
        </references>
      </pivotArea>
    </format>
    <format dxfId="2159">
      <pivotArea dataOnly="0" labelOnly="1" fieldPosition="0">
        <references count="2">
          <reference field="1" count="1" selected="0">
            <x v="280"/>
          </reference>
          <reference field="2" count="1">
            <x v="63"/>
          </reference>
        </references>
      </pivotArea>
    </format>
    <format dxfId="2158">
      <pivotArea dataOnly="0" labelOnly="1" fieldPosition="0">
        <references count="2">
          <reference field="1" count="1" selected="0">
            <x v="281"/>
          </reference>
          <reference field="2" count="1">
            <x v="1"/>
          </reference>
        </references>
      </pivotArea>
    </format>
    <format dxfId="2157">
      <pivotArea dataOnly="0" labelOnly="1" fieldPosition="0">
        <references count="2">
          <reference field="1" count="1" selected="0">
            <x v="282"/>
          </reference>
          <reference field="2" count="1">
            <x v="52"/>
          </reference>
        </references>
      </pivotArea>
    </format>
    <format dxfId="2156">
      <pivotArea dataOnly="0" labelOnly="1" fieldPosition="0">
        <references count="2">
          <reference field="1" count="1" selected="0">
            <x v="283"/>
          </reference>
          <reference field="2" count="1">
            <x v="85"/>
          </reference>
        </references>
      </pivotArea>
    </format>
    <format dxfId="2155">
      <pivotArea dataOnly="0" labelOnly="1" fieldPosition="0">
        <references count="2">
          <reference field="1" count="1" selected="0">
            <x v="284"/>
          </reference>
          <reference field="2" count="1">
            <x v="91"/>
          </reference>
        </references>
      </pivotArea>
    </format>
    <format dxfId="2154">
      <pivotArea dataOnly="0" labelOnly="1" fieldPosition="0">
        <references count="2">
          <reference field="1" count="1" selected="0">
            <x v="285"/>
          </reference>
          <reference field="2" count="1">
            <x v="28"/>
          </reference>
        </references>
      </pivotArea>
    </format>
    <format dxfId="2153">
      <pivotArea dataOnly="0" labelOnly="1" fieldPosition="0">
        <references count="2">
          <reference field="1" count="1" selected="0">
            <x v="286"/>
          </reference>
          <reference field="2" count="1">
            <x v="23"/>
          </reference>
        </references>
      </pivotArea>
    </format>
    <format dxfId="2152">
      <pivotArea dataOnly="0" labelOnly="1" fieldPosition="0">
        <references count="2">
          <reference field="1" count="1" selected="0">
            <x v="287"/>
          </reference>
          <reference field="2" count="1">
            <x v="1"/>
          </reference>
        </references>
      </pivotArea>
    </format>
    <format dxfId="2151">
      <pivotArea dataOnly="0" labelOnly="1" fieldPosition="0">
        <references count="2">
          <reference field="1" count="1" selected="0">
            <x v="288"/>
          </reference>
          <reference field="2" count="1">
            <x v="8"/>
          </reference>
        </references>
      </pivotArea>
    </format>
    <format dxfId="2150">
      <pivotArea dataOnly="0" labelOnly="1" fieldPosition="0">
        <references count="2">
          <reference field="1" count="1" selected="0">
            <x v="289"/>
          </reference>
          <reference field="2" count="1">
            <x v="53"/>
          </reference>
        </references>
      </pivotArea>
    </format>
    <format dxfId="2149">
      <pivotArea dataOnly="0" labelOnly="1" fieldPosition="0">
        <references count="2">
          <reference field="1" count="1" selected="0">
            <x v="290"/>
          </reference>
          <reference field="2" count="1">
            <x v="52"/>
          </reference>
        </references>
      </pivotArea>
    </format>
    <format dxfId="2148">
      <pivotArea dataOnly="0" labelOnly="1" fieldPosition="0">
        <references count="2">
          <reference field="1" count="1" selected="0">
            <x v="291"/>
          </reference>
          <reference field="2" count="1">
            <x v="53"/>
          </reference>
        </references>
      </pivotArea>
    </format>
    <format dxfId="2147">
      <pivotArea dataOnly="0" labelOnly="1" fieldPosition="0">
        <references count="2">
          <reference field="1" count="1" selected="0">
            <x v="292"/>
          </reference>
          <reference field="2" count="1">
            <x v="23"/>
          </reference>
        </references>
      </pivotArea>
    </format>
    <format dxfId="2146">
      <pivotArea dataOnly="0" labelOnly="1" fieldPosition="0">
        <references count="2">
          <reference field="1" count="1" selected="0">
            <x v="293"/>
          </reference>
          <reference field="2" count="1">
            <x v="34"/>
          </reference>
        </references>
      </pivotArea>
    </format>
    <format dxfId="2145">
      <pivotArea dataOnly="0" labelOnly="1" fieldPosition="0">
        <references count="2">
          <reference field="1" count="1" selected="0">
            <x v="294"/>
          </reference>
          <reference field="2" count="1">
            <x v="1"/>
          </reference>
        </references>
      </pivotArea>
    </format>
    <format dxfId="2144">
      <pivotArea dataOnly="0" labelOnly="1" fieldPosition="0">
        <references count="2">
          <reference field="1" count="1" selected="0">
            <x v="295"/>
          </reference>
          <reference field="2" count="1">
            <x v="56"/>
          </reference>
        </references>
      </pivotArea>
    </format>
    <format dxfId="2143">
      <pivotArea dataOnly="0" labelOnly="1" fieldPosition="0">
        <references count="2">
          <reference field="1" count="1" selected="0">
            <x v="296"/>
          </reference>
          <reference field="2" count="1">
            <x v="34"/>
          </reference>
        </references>
      </pivotArea>
    </format>
    <format dxfId="2142">
      <pivotArea dataOnly="0" labelOnly="1" fieldPosition="0">
        <references count="2">
          <reference field="1" count="1" selected="0">
            <x v="297"/>
          </reference>
          <reference field="2" count="1">
            <x v="23"/>
          </reference>
        </references>
      </pivotArea>
    </format>
    <format dxfId="2141">
      <pivotArea dataOnly="0" labelOnly="1" fieldPosition="0">
        <references count="2">
          <reference field="1" count="1" selected="0">
            <x v="298"/>
          </reference>
          <reference field="2" count="2">
            <x v="12"/>
            <x v="52"/>
          </reference>
        </references>
      </pivotArea>
    </format>
    <format dxfId="2140">
      <pivotArea dataOnly="0" labelOnly="1" fieldPosition="0">
        <references count="2">
          <reference field="1" count="1" selected="0">
            <x v="299"/>
          </reference>
          <reference field="2" count="1">
            <x v="34"/>
          </reference>
        </references>
      </pivotArea>
    </format>
    <format dxfId="2139">
      <pivotArea dataOnly="0" labelOnly="1" fieldPosition="0">
        <references count="2">
          <reference field="1" count="1" selected="0">
            <x v="300"/>
          </reference>
          <reference field="2" count="1">
            <x v="34"/>
          </reference>
        </references>
      </pivotArea>
    </format>
    <format dxfId="2138">
      <pivotArea dataOnly="0" labelOnly="1" fieldPosition="0">
        <references count="2">
          <reference field="1" count="1" selected="0">
            <x v="301"/>
          </reference>
          <reference field="2" count="1">
            <x v="1"/>
          </reference>
        </references>
      </pivotArea>
    </format>
    <format dxfId="2137">
      <pivotArea dataOnly="0" labelOnly="1" fieldPosition="0">
        <references count="2">
          <reference field="1" count="1" selected="0">
            <x v="302"/>
          </reference>
          <reference field="2" count="1">
            <x v="73"/>
          </reference>
        </references>
      </pivotArea>
    </format>
    <format dxfId="2136">
      <pivotArea dataOnly="0" labelOnly="1" fieldPosition="0">
        <references count="2">
          <reference field="1" count="1" selected="0">
            <x v="303"/>
          </reference>
          <reference field="2" count="1">
            <x v="52"/>
          </reference>
        </references>
      </pivotArea>
    </format>
    <format dxfId="2135">
      <pivotArea dataOnly="0" labelOnly="1" fieldPosition="0">
        <references count="2">
          <reference field="1" count="1" selected="0">
            <x v="304"/>
          </reference>
          <reference field="2" count="1">
            <x v="66"/>
          </reference>
        </references>
      </pivotArea>
    </format>
    <format dxfId="2134">
      <pivotArea dataOnly="0" labelOnly="1" fieldPosition="0">
        <references count="2">
          <reference field="1" count="1" selected="0">
            <x v="305"/>
          </reference>
          <reference field="2" count="1">
            <x v="44"/>
          </reference>
        </references>
      </pivotArea>
    </format>
    <format dxfId="2133">
      <pivotArea dataOnly="0" labelOnly="1" fieldPosition="0">
        <references count="2">
          <reference field="1" count="1" selected="0">
            <x v="306"/>
          </reference>
          <reference field="2" count="1">
            <x v="8"/>
          </reference>
        </references>
      </pivotArea>
    </format>
    <format dxfId="2132">
      <pivotArea dataOnly="0" labelOnly="1" fieldPosition="0">
        <references count="2">
          <reference field="1" count="1" selected="0">
            <x v="307"/>
          </reference>
          <reference field="2" count="1">
            <x v="66"/>
          </reference>
        </references>
      </pivotArea>
    </format>
    <format dxfId="2131">
      <pivotArea dataOnly="0" labelOnly="1" fieldPosition="0">
        <references count="2">
          <reference field="1" count="1" selected="0">
            <x v="308"/>
          </reference>
          <reference field="2" count="1">
            <x v="17"/>
          </reference>
        </references>
      </pivotArea>
    </format>
    <format dxfId="2130">
      <pivotArea dataOnly="0" labelOnly="1" fieldPosition="0">
        <references count="2">
          <reference field="1" count="1" selected="0">
            <x v="309"/>
          </reference>
          <reference field="2" count="1">
            <x v="67"/>
          </reference>
        </references>
      </pivotArea>
    </format>
    <format dxfId="2129">
      <pivotArea dataOnly="0" labelOnly="1" fieldPosition="0">
        <references count="2">
          <reference field="1" count="1" selected="0">
            <x v="310"/>
          </reference>
          <reference field="2" count="1">
            <x v="28"/>
          </reference>
        </references>
      </pivotArea>
    </format>
    <format dxfId="2128">
      <pivotArea dataOnly="0" labelOnly="1" fieldPosition="0">
        <references count="2">
          <reference field="1" count="1" selected="0">
            <x v="311"/>
          </reference>
          <reference field="2" count="1">
            <x v="52"/>
          </reference>
        </references>
      </pivotArea>
    </format>
    <format dxfId="2127">
      <pivotArea dataOnly="0" labelOnly="1" fieldPosition="0">
        <references count="2">
          <reference field="1" count="1" selected="0">
            <x v="312"/>
          </reference>
          <reference field="2" count="1">
            <x v="92"/>
          </reference>
        </references>
      </pivotArea>
    </format>
    <format dxfId="2126">
      <pivotArea dataOnly="0" labelOnly="1" fieldPosition="0">
        <references count="2">
          <reference field="1" count="1" selected="0">
            <x v="313"/>
          </reference>
          <reference field="2" count="1">
            <x v="52"/>
          </reference>
        </references>
      </pivotArea>
    </format>
    <format dxfId="2125">
      <pivotArea dataOnly="0" labelOnly="1" fieldPosition="0">
        <references count="2">
          <reference field="1" count="1" selected="0">
            <x v="314"/>
          </reference>
          <reference field="2" count="1">
            <x v="52"/>
          </reference>
        </references>
      </pivotArea>
    </format>
    <format dxfId="2124">
      <pivotArea dataOnly="0" labelOnly="1" fieldPosition="0">
        <references count="2">
          <reference field="1" count="1" selected="0">
            <x v="315"/>
          </reference>
          <reference field="2" count="1">
            <x v="52"/>
          </reference>
        </references>
      </pivotArea>
    </format>
    <format dxfId="2123">
      <pivotArea dataOnly="0" labelOnly="1" fieldPosition="0">
        <references count="2">
          <reference field="1" count="1" selected="0">
            <x v="316"/>
          </reference>
          <reference field="2" count="1">
            <x v="54"/>
          </reference>
        </references>
      </pivotArea>
    </format>
    <format dxfId="2122">
      <pivotArea dataOnly="0" labelOnly="1" fieldPosition="0">
        <references count="2">
          <reference field="1" count="1" selected="0">
            <x v="317"/>
          </reference>
          <reference field="2" count="1">
            <x v="26"/>
          </reference>
        </references>
      </pivotArea>
    </format>
    <format dxfId="2121">
      <pivotArea dataOnly="0" labelOnly="1" fieldPosition="0">
        <references count="2">
          <reference field="1" count="1" selected="0">
            <x v="318"/>
          </reference>
          <reference field="2" count="1">
            <x v="34"/>
          </reference>
        </references>
      </pivotArea>
    </format>
    <format dxfId="2120">
      <pivotArea dataOnly="0" labelOnly="1" fieldPosition="0">
        <references count="2">
          <reference field="1" count="1" selected="0">
            <x v="319"/>
          </reference>
          <reference field="2" count="1">
            <x v="53"/>
          </reference>
        </references>
      </pivotArea>
    </format>
    <format dxfId="2119">
      <pivotArea dataOnly="0" labelOnly="1" fieldPosition="0">
        <references count="2">
          <reference field="1" count="1" selected="0">
            <x v="320"/>
          </reference>
          <reference field="2" count="1">
            <x v="91"/>
          </reference>
        </references>
      </pivotArea>
    </format>
    <format dxfId="2118">
      <pivotArea dataOnly="0" labelOnly="1" fieldPosition="0">
        <references count="2">
          <reference field="1" count="1" selected="0">
            <x v="321"/>
          </reference>
          <reference field="2" count="1">
            <x v="66"/>
          </reference>
        </references>
      </pivotArea>
    </format>
    <format dxfId="2117">
      <pivotArea dataOnly="0" labelOnly="1" fieldPosition="0">
        <references count="2">
          <reference field="1" count="1" selected="0">
            <x v="322"/>
          </reference>
          <reference field="2" count="1">
            <x v="89"/>
          </reference>
        </references>
      </pivotArea>
    </format>
    <format dxfId="2116">
      <pivotArea dataOnly="0" labelOnly="1" fieldPosition="0">
        <references count="2">
          <reference field="1" count="1" selected="0">
            <x v="323"/>
          </reference>
          <reference field="2" count="1">
            <x v="20"/>
          </reference>
        </references>
      </pivotArea>
    </format>
    <format dxfId="2115">
      <pivotArea dataOnly="0" labelOnly="1" fieldPosition="0">
        <references count="2">
          <reference field="1" count="1" selected="0">
            <x v="324"/>
          </reference>
          <reference field="2" count="1">
            <x v="52"/>
          </reference>
        </references>
      </pivotArea>
    </format>
    <format dxfId="2114">
      <pivotArea dataOnly="0" labelOnly="1" fieldPosition="0">
        <references count="2">
          <reference field="1" count="1" selected="0">
            <x v="325"/>
          </reference>
          <reference field="2" count="1">
            <x v="82"/>
          </reference>
        </references>
      </pivotArea>
    </format>
    <format dxfId="2113">
      <pivotArea dataOnly="0" labelOnly="1" fieldPosition="0">
        <references count="2">
          <reference field="1" count="1" selected="0">
            <x v="326"/>
          </reference>
          <reference field="2" count="1">
            <x v="23"/>
          </reference>
        </references>
      </pivotArea>
    </format>
    <format dxfId="2112">
      <pivotArea dataOnly="0" labelOnly="1" fieldPosition="0">
        <references count="2">
          <reference field="1" count="1" selected="0">
            <x v="327"/>
          </reference>
          <reference field="2" count="1">
            <x v="23"/>
          </reference>
        </references>
      </pivotArea>
    </format>
    <format dxfId="2111">
      <pivotArea dataOnly="0" labelOnly="1" fieldPosition="0">
        <references count="2">
          <reference field="1" count="1" selected="0">
            <x v="328"/>
          </reference>
          <reference field="2" count="1">
            <x v="52"/>
          </reference>
        </references>
      </pivotArea>
    </format>
    <format dxfId="2110">
      <pivotArea dataOnly="0" labelOnly="1" fieldPosition="0">
        <references count="2">
          <reference field="1" count="1" selected="0">
            <x v="329"/>
          </reference>
          <reference field="2" count="1">
            <x v="52"/>
          </reference>
        </references>
      </pivotArea>
    </format>
    <format dxfId="2109">
      <pivotArea dataOnly="0" labelOnly="1" fieldPosition="0">
        <references count="2">
          <reference field="1" count="1" selected="0">
            <x v="330"/>
          </reference>
          <reference field="2" count="1">
            <x v="15"/>
          </reference>
        </references>
      </pivotArea>
    </format>
    <format dxfId="2108">
      <pivotArea dataOnly="0" labelOnly="1" fieldPosition="0">
        <references count="2">
          <reference field="1" count="1" selected="0">
            <x v="331"/>
          </reference>
          <reference field="2" count="1">
            <x v="52"/>
          </reference>
        </references>
      </pivotArea>
    </format>
    <format dxfId="2107">
      <pivotArea dataOnly="0" labelOnly="1" fieldPosition="0">
        <references count="2">
          <reference field="1" count="1" selected="0">
            <x v="332"/>
          </reference>
          <reference field="2" count="1">
            <x v="1"/>
          </reference>
        </references>
      </pivotArea>
    </format>
    <format dxfId="2106">
      <pivotArea dataOnly="0" labelOnly="1" fieldPosition="0">
        <references count="2">
          <reference field="1" count="1" selected="0">
            <x v="333"/>
          </reference>
          <reference field="2" count="1">
            <x v="87"/>
          </reference>
        </references>
      </pivotArea>
    </format>
    <format dxfId="2105">
      <pivotArea dataOnly="0" labelOnly="1" fieldPosition="0">
        <references count="2">
          <reference field="1" count="1" selected="0">
            <x v="334"/>
          </reference>
          <reference field="2" count="1">
            <x v="52"/>
          </reference>
        </references>
      </pivotArea>
    </format>
    <format dxfId="2104">
      <pivotArea dataOnly="0" labelOnly="1" fieldPosition="0">
        <references count="2">
          <reference field="1" count="1" selected="0">
            <x v="335"/>
          </reference>
          <reference field="2" count="1">
            <x v="53"/>
          </reference>
        </references>
      </pivotArea>
    </format>
    <format dxfId="2103">
      <pivotArea dataOnly="0" labelOnly="1" fieldPosition="0">
        <references count="2">
          <reference field="1" count="1" selected="0">
            <x v="336"/>
          </reference>
          <reference field="2" count="2">
            <x v="52"/>
            <x v="79"/>
          </reference>
        </references>
      </pivotArea>
    </format>
    <format dxfId="2102">
      <pivotArea dataOnly="0" labelOnly="1" fieldPosition="0">
        <references count="2">
          <reference field="1" count="1" selected="0">
            <x v="337"/>
          </reference>
          <reference field="2" count="1">
            <x v="23"/>
          </reference>
        </references>
      </pivotArea>
    </format>
    <format dxfId="2101">
      <pivotArea dataOnly="0" labelOnly="1" fieldPosition="0">
        <references count="2">
          <reference field="1" count="1" selected="0">
            <x v="338"/>
          </reference>
          <reference field="2" count="1">
            <x v="1"/>
          </reference>
        </references>
      </pivotArea>
    </format>
    <format dxfId="2100">
      <pivotArea dataOnly="0" labelOnly="1" fieldPosition="0">
        <references count="2">
          <reference field="1" count="1" selected="0">
            <x v="339"/>
          </reference>
          <reference field="2" count="1">
            <x v="1"/>
          </reference>
        </references>
      </pivotArea>
    </format>
    <format dxfId="2099">
      <pivotArea dataOnly="0" labelOnly="1" fieldPosition="0">
        <references count="2">
          <reference field="1" count="1" selected="0">
            <x v="340"/>
          </reference>
          <reference field="2" count="1">
            <x v="33"/>
          </reference>
        </references>
      </pivotArea>
    </format>
    <format dxfId="2098">
      <pivotArea dataOnly="0" labelOnly="1" fieldPosition="0">
        <references count="2">
          <reference field="1" count="1" selected="0">
            <x v="341"/>
          </reference>
          <reference field="2" count="1">
            <x v="53"/>
          </reference>
        </references>
      </pivotArea>
    </format>
    <format dxfId="2097">
      <pivotArea dataOnly="0" labelOnly="1" fieldPosition="0">
        <references count="2">
          <reference field="1" count="1" selected="0">
            <x v="342"/>
          </reference>
          <reference field="2" count="1">
            <x v="66"/>
          </reference>
        </references>
      </pivotArea>
    </format>
    <format dxfId="2096">
      <pivotArea dataOnly="0" labelOnly="1" fieldPosition="0">
        <references count="2">
          <reference field="1" count="1" selected="0">
            <x v="343"/>
          </reference>
          <reference field="2" count="1">
            <x v="66"/>
          </reference>
        </references>
      </pivotArea>
    </format>
    <format dxfId="2095">
      <pivotArea dataOnly="0" labelOnly="1" fieldPosition="0">
        <references count="2">
          <reference field="1" count="1" selected="0">
            <x v="344"/>
          </reference>
          <reference field="2" count="1">
            <x v="23"/>
          </reference>
        </references>
      </pivotArea>
    </format>
    <format dxfId="2094">
      <pivotArea dataOnly="0" labelOnly="1" fieldPosition="0">
        <references count="2">
          <reference field="1" count="1" selected="0">
            <x v="345"/>
          </reference>
          <reference field="2" count="1">
            <x v="23"/>
          </reference>
        </references>
      </pivotArea>
    </format>
    <format dxfId="2093">
      <pivotArea dataOnly="0" labelOnly="1" fieldPosition="0">
        <references count="2">
          <reference field="1" count="1" selected="0">
            <x v="346"/>
          </reference>
          <reference field="2" count="1">
            <x v="34"/>
          </reference>
        </references>
      </pivotArea>
    </format>
    <format dxfId="2092">
      <pivotArea dataOnly="0" labelOnly="1" fieldPosition="0">
        <references count="2">
          <reference field="1" count="1" selected="0">
            <x v="347"/>
          </reference>
          <reference field="2" count="1">
            <x v="66"/>
          </reference>
        </references>
      </pivotArea>
    </format>
    <format dxfId="2091">
      <pivotArea dataOnly="0" labelOnly="1" fieldPosition="0">
        <references count="2">
          <reference field="1" count="1" selected="0">
            <x v="348"/>
          </reference>
          <reference field="2" count="1">
            <x v="90"/>
          </reference>
        </references>
      </pivotArea>
    </format>
    <format dxfId="2090">
      <pivotArea dataOnly="0" labelOnly="1" fieldPosition="0">
        <references count="2">
          <reference field="1" count="1" selected="0">
            <x v="349"/>
          </reference>
          <reference field="2" count="1">
            <x v="52"/>
          </reference>
        </references>
      </pivotArea>
    </format>
    <format dxfId="2089">
      <pivotArea dataOnly="0" labelOnly="1" fieldPosition="0">
        <references count="2">
          <reference field="1" count="1" selected="0">
            <x v="350"/>
          </reference>
          <reference field="2" count="2">
            <x v="6"/>
            <x v="91"/>
          </reference>
        </references>
      </pivotArea>
    </format>
    <format dxfId="2088">
      <pivotArea dataOnly="0" labelOnly="1" fieldPosition="0">
        <references count="2">
          <reference field="1" count="1" selected="0">
            <x v="351"/>
          </reference>
          <reference field="2" count="1">
            <x v="28"/>
          </reference>
        </references>
      </pivotArea>
    </format>
    <format dxfId="2087">
      <pivotArea dataOnly="0" labelOnly="1" fieldPosition="0">
        <references count="2">
          <reference field="1" count="1" selected="0">
            <x v="352"/>
          </reference>
          <reference field="2" count="1">
            <x v="88"/>
          </reference>
        </references>
      </pivotArea>
    </format>
    <format dxfId="2086">
      <pivotArea dataOnly="0" labelOnly="1" fieldPosition="0">
        <references count="2">
          <reference field="1" count="1" selected="0">
            <x v="353"/>
          </reference>
          <reference field="2" count="1">
            <x v="1"/>
          </reference>
        </references>
      </pivotArea>
    </format>
    <format dxfId="2085">
      <pivotArea dataOnly="0" labelOnly="1" fieldPosition="0">
        <references count="2">
          <reference field="1" count="1" selected="0">
            <x v="354"/>
          </reference>
          <reference field="2" count="1">
            <x v="50"/>
          </reference>
        </references>
      </pivotArea>
    </format>
    <format dxfId="2084">
      <pivotArea dataOnly="0" labelOnly="1" fieldPosition="0">
        <references count="2">
          <reference field="1" count="1" selected="0">
            <x v="355"/>
          </reference>
          <reference field="2" count="1">
            <x v="52"/>
          </reference>
        </references>
      </pivotArea>
    </format>
    <format dxfId="2083">
      <pivotArea dataOnly="0" labelOnly="1" fieldPosition="0">
        <references count="2">
          <reference field="1" count="1" selected="0">
            <x v="356"/>
          </reference>
          <reference field="2" count="1">
            <x v="34"/>
          </reference>
        </references>
      </pivotArea>
    </format>
    <format dxfId="2082">
      <pivotArea dataOnly="0" labelOnly="1" fieldPosition="0">
        <references count="2">
          <reference field="1" count="1" selected="0">
            <x v="357"/>
          </reference>
          <reference field="2" count="1">
            <x v="73"/>
          </reference>
        </references>
      </pivotArea>
    </format>
    <format dxfId="2081">
      <pivotArea dataOnly="0" labelOnly="1" fieldPosition="0">
        <references count="2">
          <reference field="1" count="1" selected="0">
            <x v="358"/>
          </reference>
          <reference field="2" count="1">
            <x v="68"/>
          </reference>
        </references>
      </pivotArea>
    </format>
    <format dxfId="2080">
      <pivotArea dataOnly="0" labelOnly="1" fieldPosition="0">
        <references count="2">
          <reference field="1" count="1" selected="0">
            <x v="359"/>
          </reference>
          <reference field="2" count="1">
            <x v="34"/>
          </reference>
        </references>
      </pivotArea>
    </format>
    <format dxfId="2079">
      <pivotArea dataOnly="0" labelOnly="1" fieldPosition="0">
        <references count="2">
          <reference field="1" count="1" selected="0">
            <x v="360"/>
          </reference>
          <reference field="2" count="1">
            <x v="106"/>
          </reference>
        </references>
      </pivotArea>
    </format>
    <format dxfId="2078">
      <pivotArea dataOnly="0" labelOnly="1" fieldPosition="0">
        <references count="2">
          <reference field="1" count="1" selected="0">
            <x v="361"/>
          </reference>
          <reference field="2" count="1">
            <x v="52"/>
          </reference>
        </references>
      </pivotArea>
    </format>
    <format dxfId="2077">
      <pivotArea dataOnly="0" labelOnly="1" fieldPosition="0">
        <references count="2">
          <reference field="1" count="1" selected="0">
            <x v="362"/>
          </reference>
          <reference field="2" count="1">
            <x v="23"/>
          </reference>
        </references>
      </pivotArea>
    </format>
    <format dxfId="2076">
      <pivotArea dataOnly="0" labelOnly="1" fieldPosition="0">
        <references count="2">
          <reference field="1" count="1" selected="0">
            <x v="363"/>
          </reference>
          <reference field="2" count="1">
            <x v="91"/>
          </reference>
        </references>
      </pivotArea>
    </format>
    <format dxfId="2075">
      <pivotArea dataOnly="0" labelOnly="1" fieldPosition="0">
        <references count="2">
          <reference field="1" count="1" selected="0">
            <x v="364"/>
          </reference>
          <reference field="2" count="1">
            <x v="65"/>
          </reference>
        </references>
      </pivotArea>
    </format>
    <format dxfId="2074">
      <pivotArea dataOnly="0" labelOnly="1" fieldPosition="0">
        <references count="2">
          <reference field="1" count="1" selected="0">
            <x v="365"/>
          </reference>
          <reference field="2" count="1">
            <x v="52"/>
          </reference>
        </references>
      </pivotArea>
    </format>
    <format dxfId="2073">
      <pivotArea dataOnly="0" labelOnly="1" fieldPosition="0">
        <references count="2">
          <reference field="1" count="1" selected="0">
            <x v="366"/>
          </reference>
          <reference field="2" count="1">
            <x v="55"/>
          </reference>
        </references>
      </pivotArea>
    </format>
    <format dxfId="2072">
      <pivotArea dataOnly="0" labelOnly="1" fieldPosition="0">
        <references count="2">
          <reference field="1" count="1" selected="0">
            <x v="367"/>
          </reference>
          <reference field="2" count="1">
            <x v="0"/>
          </reference>
        </references>
      </pivotArea>
    </format>
    <format dxfId="2071">
      <pivotArea dataOnly="0" labelOnly="1" fieldPosition="0">
        <references count="2">
          <reference field="1" count="1" selected="0">
            <x v="368"/>
          </reference>
          <reference field="2" count="1">
            <x v="52"/>
          </reference>
        </references>
      </pivotArea>
    </format>
    <format dxfId="2070">
      <pivotArea dataOnly="0" labelOnly="1" fieldPosition="0">
        <references count="2">
          <reference field="1" count="1" selected="0">
            <x v="369"/>
          </reference>
          <reference field="2" count="1">
            <x v="86"/>
          </reference>
        </references>
      </pivotArea>
    </format>
    <format dxfId="2069">
      <pivotArea dataOnly="0" labelOnly="1" fieldPosition="0">
        <references count="2">
          <reference field="1" count="1" selected="0">
            <x v="370"/>
          </reference>
          <reference field="2" count="1">
            <x v="23"/>
          </reference>
        </references>
      </pivotArea>
    </format>
    <format dxfId="2068">
      <pivotArea dataOnly="0" labelOnly="1" fieldPosition="0">
        <references count="2">
          <reference field="1" count="1" selected="0">
            <x v="371"/>
          </reference>
          <reference field="2" count="1">
            <x v="10"/>
          </reference>
        </references>
      </pivotArea>
    </format>
    <format dxfId="2067">
      <pivotArea dataOnly="0" labelOnly="1" fieldPosition="0">
        <references count="2">
          <reference field="1" count="1" selected="0">
            <x v="372"/>
          </reference>
          <reference field="2" count="1">
            <x v="69"/>
          </reference>
        </references>
      </pivotArea>
    </format>
    <format dxfId="2066">
      <pivotArea dataOnly="0" labelOnly="1" fieldPosition="0">
        <references count="2">
          <reference field="1" count="1" selected="0">
            <x v="373"/>
          </reference>
          <reference field="2" count="1">
            <x v="52"/>
          </reference>
        </references>
      </pivotArea>
    </format>
    <format dxfId="2065">
      <pivotArea dataOnly="0" labelOnly="1" fieldPosition="0">
        <references count="2">
          <reference field="1" count="1" selected="0">
            <x v="374"/>
          </reference>
          <reference field="2" count="1">
            <x v="34"/>
          </reference>
        </references>
      </pivotArea>
    </format>
    <format dxfId="2064">
      <pivotArea dataOnly="0" labelOnly="1" fieldPosition="0">
        <references count="2">
          <reference field="1" count="1" selected="0">
            <x v="375"/>
          </reference>
          <reference field="2" count="1">
            <x v="23"/>
          </reference>
        </references>
      </pivotArea>
    </format>
    <format dxfId="2063">
      <pivotArea dataOnly="0" labelOnly="1" fieldPosition="0">
        <references count="2">
          <reference field="1" count="1" selected="0">
            <x v="376"/>
          </reference>
          <reference field="2" count="1">
            <x v="97"/>
          </reference>
        </references>
      </pivotArea>
    </format>
    <format dxfId="2062">
      <pivotArea dataOnly="0" labelOnly="1" fieldPosition="0">
        <references count="2">
          <reference field="1" count="1" selected="0">
            <x v="377"/>
          </reference>
          <reference field="2" count="1">
            <x v="89"/>
          </reference>
        </references>
      </pivotArea>
    </format>
    <format dxfId="2061">
      <pivotArea dataOnly="0" labelOnly="1" fieldPosition="0">
        <references count="2">
          <reference field="1" count="1" selected="0">
            <x v="378"/>
          </reference>
          <reference field="2" count="1">
            <x v="77"/>
          </reference>
        </references>
      </pivotArea>
    </format>
    <format dxfId="2060">
      <pivotArea dataOnly="0" labelOnly="1" fieldPosition="0">
        <references count="2">
          <reference field="1" count="1" selected="0">
            <x v="379"/>
          </reference>
          <reference field="2" count="1">
            <x v="34"/>
          </reference>
        </references>
      </pivotArea>
    </format>
    <format dxfId="2059">
      <pivotArea dataOnly="0" labelOnly="1" fieldPosition="0">
        <references count="2">
          <reference field="1" count="1" selected="0">
            <x v="380"/>
          </reference>
          <reference field="2" count="1">
            <x v="52"/>
          </reference>
        </references>
      </pivotArea>
    </format>
    <format dxfId="2058">
      <pivotArea dataOnly="0" labelOnly="1" fieldPosition="0">
        <references count="2">
          <reference field="1" count="1" selected="0">
            <x v="381"/>
          </reference>
          <reference field="2" count="1">
            <x v="0"/>
          </reference>
        </references>
      </pivotArea>
    </format>
    <format dxfId="2057">
      <pivotArea dataOnly="0" labelOnly="1" fieldPosition="0">
        <references count="2">
          <reference field="1" count="1" selected="0">
            <x v="382"/>
          </reference>
          <reference field="2" count="1">
            <x v="23"/>
          </reference>
        </references>
      </pivotArea>
    </format>
    <format dxfId="2056">
      <pivotArea dataOnly="0" labelOnly="1" fieldPosition="0">
        <references count="2">
          <reference field="1" count="1" selected="0">
            <x v="383"/>
          </reference>
          <reference field="2" count="1">
            <x v="23"/>
          </reference>
        </references>
      </pivotArea>
    </format>
    <format dxfId="2055">
      <pivotArea dataOnly="0" labelOnly="1" fieldPosition="0">
        <references count="2">
          <reference field="1" count="1" selected="0">
            <x v="384"/>
          </reference>
          <reference field="2" count="1">
            <x v="1"/>
          </reference>
        </references>
      </pivotArea>
    </format>
    <format dxfId="2054">
      <pivotArea dataOnly="0" labelOnly="1" fieldPosition="0">
        <references count="2">
          <reference field="1" count="1" selected="0">
            <x v="385"/>
          </reference>
          <reference field="2" count="1">
            <x v="34"/>
          </reference>
        </references>
      </pivotArea>
    </format>
    <format dxfId="2053">
      <pivotArea dataOnly="0" labelOnly="1" fieldPosition="0">
        <references count="2">
          <reference field="1" count="1" selected="0">
            <x v="386"/>
          </reference>
          <reference field="2" count="1">
            <x v="99"/>
          </reference>
        </references>
      </pivotArea>
    </format>
    <format dxfId="2052">
      <pivotArea dataOnly="0" labelOnly="1" fieldPosition="0">
        <references count="2">
          <reference field="1" count="1" selected="0">
            <x v="387"/>
          </reference>
          <reference field="2" count="1">
            <x v="52"/>
          </reference>
        </references>
      </pivotArea>
    </format>
    <format dxfId="2051">
      <pivotArea dataOnly="0" labelOnly="1" fieldPosition="0">
        <references count="2">
          <reference field="1" count="1" selected="0">
            <x v="388"/>
          </reference>
          <reference field="2" count="1">
            <x v="94"/>
          </reference>
        </references>
      </pivotArea>
    </format>
    <format dxfId="2050">
      <pivotArea dataOnly="0" labelOnly="1" fieldPosition="0">
        <references count="2">
          <reference field="1" count="1" selected="0">
            <x v="389"/>
          </reference>
          <reference field="2" count="1">
            <x v="52"/>
          </reference>
        </references>
      </pivotArea>
    </format>
    <format dxfId="2049">
      <pivotArea dataOnly="0" labelOnly="1" fieldPosition="0">
        <references count="2">
          <reference field="1" count="1" selected="0">
            <x v="390"/>
          </reference>
          <reference field="2" count="1">
            <x v="1"/>
          </reference>
        </references>
      </pivotArea>
    </format>
    <format dxfId="2048">
      <pivotArea dataOnly="0" labelOnly="1" fieldPosition="0">
        <references count="2">
          <reference field="1" count="1" selected="0">
            <x v="391"/>
          </reference>
          <reference field="2" count="1">
            <x v="53"/>
          </reference>
        </references>
      </pivotArea>
    </format>
    <format dxfId="2047">
      <pivotArea dataOnly="0" labelOnly="1" fieldPosition="0">
        <references count="2">
          <reference field="1" count="1" selected="0">
            <x v="392"/>
          </reference>
          <reference field="2" count="1">
            <x v="34"/>
          </reference>
        </references>
      </pivotArea>
    </format>
    <format dxfId="2046">
      <pivotArea dataOnly="0" labelOnly="1" fieldPosition="0">
        <references count="2">
          <reference field="1" count="1" selected="0">
            <x v="393"/>
          </reference>
          <reference field="2" count="1">
            <x v="53"/>
          </reference>
        </references>
      </pivotArea>
    </format>
    <format dxfId="2045">
      <pivotArea dataOnly="0" labelOnly="1" fieldPosition="0">
        <references count="2">
          <reference field="1" count="1" selected="0">
            <x v="394"/>
          </reference>
          <reference field="2" count="1">
            <x v="60"/>
          </reference>
        </references>
      </pivotArea>
    </format>
    <format dxfId="2044">
      <pivotArea dataOnly="0" labelOnly="1" fieldPosition="0">
        <references count="2">
          <reference field="1" count="1" selected="0">
            <x v="395"/>
          </reference>
          <reference field="2" count="1">
            <x v="23"/>
          </reference>
        </references>
      </pivotArea>
    </format>
    <format dxfId="2043">
      <pivotArea dataOnly="0" labelOnly="1" fieldPosition="0">
        <references count="2">
          <reference field="1" count="1" selected="0">
            <x v="396"/>
          </reference>
          <reference field="2" count="1">
            <x v="34"/>
          </reference>
        </references>
      </pivotArea>
    </format>
    <format dxfId="2042">
      <pivotArea dataOnly="0" labelOnly="1" fieldPosition="0">
        <references count="2">
          <reference field="1" count="1" selected="0">
            <x v="397"/>
          </reference>
          <reference field="2" count="1">
            <x v="52"/>
          </reference>
        </references>
      </pivotArea>
    </format>
    <format dxfId="2041">
      <pivotArea dataOnly="0" labelOnly="1" fieldPosition="0">
        <references count="2">
          <reference field="1" count="1" selected="0">
            <x v="398"/>
          </reference>
          <reference field="2" count="1">
            <x v="65"/>
          </reference>
        </references>
      </pivotArea>
    </format>
    <format dxfId="2040">
      <pivotArea dataOnly="0" labelOnly="1" fieldPosition="0">
        <references count="2">
          <reference field="1" count="1" selected="0">
            <x v="399"/>
          </reference>
          <reference field="2" count="1">
            <x v="34"/>
          </reference>
        </references>
      </pivotArea>
    </format>
    <format dxfId="2039">
      <pivotArea dataOnly="0" labelOnly="1" fieldPosition="0">
        <references count="2">
          <reference field="1" count="1" selected="0">
            <x v="400"/>
          </reference>
          <reference field="2" count="1">
            <x v="1"/>
          </reference>
        </references>
      </pivotArea>
    </format>
    <format dxfId="2038">
      <pivotArea dataOnly="0" labelOnly="1" fieldPosition="0">
        <references count="2">
          <reference field="1" count="1" selected="0">
            <x v="401"/>
          </reference>
          <reference field="2" count="1">
            <x v="70"/>
          </reference>
        </references>
      </pivotArea>
    </format>
    <format dxfId="2037">
      <pivotArea dataOnly="0" labelOnly="1" fieldPosition="0">
        <references count="2">
          <reference field="1" count="1" selected="0">
            <x v="402"/>
          </reference>
          <reference field="2" count="1">
            <x v="53"/>
          </reference>
        </references>
      </pivotArea>
    </format>
    <format dxfId="2036">
      <pivotArea dataOnly="0" labelOnly="1" fieldPosition="0">
        <references count="2">
          <reference field="1" count="1" selected="0">
            <x v="403"/>
          </reference>
          <reference field="2" count="1">
            <x v="22"/>
          </reference>
        </references>
      </pivotArea>
    </format>
    <format dxfId="2035">
      <pivotArea dataOnly="0" labelOnly="1" fieldPosition="0">
        <references count="2">
          <reference field="1" count="1" selected="0">
            <x v="404"/>
          </reference>
          <reference field="2" count="1">
            <x v="40"/>
          </reference>
        </references>
      </pivotArea>
    </format>
    <format dxfId="2034">
      <pivotArea dataOnly="0" labelOnly="1" fieldPosition="0">
        <references count="2">
          <reference field="1" count="1" selected="0">
            <x v="405"/>
          </reference>
          <reference field="2" count="1">
            <x v="52"/>
          </reference>
        </references>
      </pivotArea>
    </format>
    <format dxfId="2033">
      <pivotArea dataOnly="0" labelOnly="1" fieldPosition="0">
        <references count="2">
          <reference field="1" count="1" selected="0">
            <x v="406"/>
          </reference>
          <reference field="2" count="1">
            <x v="1"/>
          </reference>
        </references>
      </pivotArea>
    </format>
    <format dxfId="2032">
      <pivotArea dataOnly="0" labelOnly="1" fieldPosition="0">
        <references count="2">
          <reference field="1" count="1" selected="0">
            <x v="407"/>
          </reference>
          <reference field="2" count="1">
            <x v="97"/>
          </reference>
        </references>
      </pivotArea>
    </format>
    <format dxfId="2031">
      <pivotArea dataOnly="0" labelOnly="1" fieldPosition="0">
        <references count="2">
          <reference field="1" count="1" selected="0">
            <x v="408"/>
          </reference>
          <reference field="2" count="1">
            <x v="52"/>
          </reference>
        </references>
      </pivotArea>
    </format>
    <format dxfId="2030">
      <pivotArea dataOnly="0" labelOnly="1" fieldPosition="0">
        <references count="2">
          <reference field="1" count="1" selected="0">
            <x v="409"/>
          </reference>
          <reference field="2" count="1">
            <x v="52"/>
          </reference>
        </references>
      </pivotArea>
    </format>
    <format dxfId="2029">
      <pivotArea dataOnly="0" labelOnly="1" fieldPosition="0">
        <references count="2">
          <reference field="1" count="1" selected="0">
            <x v="410"/>
          </reference>
          <reference field="2" count="1">
            <x v="8"/>
          </reference>
        </references>
      </pivotArea>
    </format>
    <format dxfId="2028">
      <pivotArea dataOnly="0" labelOnly="1" fieldPosition="0">
        <references count="2">
          <reference field="1" count="1" selected="0">
            <x v="411"/>
          </reference>
          <reference field="2" count="1">
            <x v="34"/>
          </reference>
        </references>
      </pivotArea>
    </format>
    <format dxfId="2027">
      <pivotArea dataOnly="0" labelOnly="1" fieldPosition="0">
        <references count="2">
          <reference field="1" count="1" selected="0">
            <x v="412"/>
          </reference>
          <reference field="2" count="1">
            <x v="1"/>
          </reference>
        </references>
      </pivotArea>
    </format>
    <format dxfId="2026">
      <pivotArea dataOnly="0" labelOnly="1" fieldPosition="0">
        <references count="2">
          <reference field="1" count="1" selected="0">
            <x v="413"/>
          </reference>
          <reference field="2" count="1">
            <x v="83"/>
          </reference>
        </references>
      </pivotArea>
    </format>
    <format dxfId="2025">
      <pivotArea dataOnly="0" labelOnly="1" fieldPosition="0">
        <references count="2">
          <reference field="1" count="1" selected="0">
            <x v="414"/>
          </reference>
          <reference field="2" count="1">
            <x v="106"/>
          </reference>
        </references>
      </pivotArea>
    </format>
    <format dxfId="2024">
      <pivotArea dataOnly="0" labelOnly="1" fieldPosition="0">
        <references count="2">
          <reference field="1" count="1" selected="0">
            <x v="415"/>
          </reference>
          <reference field="2" count="1">
            <x v="1"/>
          </reference>
        </references>
      </pivotArea>
    </format>
    <format dxfId="2023">
      <pivotArea dataOnly="0" labelOnly="1" fieldPosition="0">
        <references count="2">
          <reference field="1" count="1" selected="0">
            <x v="416"/>
          </reference>
          <reference field="2" count="1">
            <x v="53"/>
          </reference>
        </references>
      </pivotArea>
    </format>
    <format dxfId="2022">
      <pivotArea dataOnly="0" labelOnly="1" fieldPosition="0">
        <references count="2">
          <reference field="1" count="1" selected="0">
            <x v="417"/>
          </reference>
          <reference field="2" count="1">
            <x v="79"/>
          </reference>
        </references>
      </pivotArea>
    </format>
    <format dxfId="2021">
      <pivotArea dataOnly="0" labelOnly="1" fieldPosition="0">
        <references count="2">
          <reference field="1" count="1" selected="0">
            <x v="418"/>
          </reference>
          <reference field="2" count="1">
            <x v="1"/>
          </reference>
        </references>
      </pivotArea>
    </format>
    <format dxfId="2020">
      <pivotArea dataOnly="0" labelOnly="1" fieldPosition="0">
        <references count="2">
          <reference field="1" count="1" selected="0">
            <x v="419"/>
          </reference>
          <reference field="2" count="1">
            <x v="83"/>
          </reference>
        </references>
      </pivotArea>
    </format>
    <format dxfId="2019">
      <pivotArea dataOnly="0" labelOnly="1" fieldPosition="0">
        <references count="2">
          <reference field="1" count="1" selected="0">
            <x v="420"/>
          </reference>
          <reference field="2" count="1">
            <x v="23"/>
          </reference>
        </references>
      </pivotArea>
    </format>
    <format dxfId="2018">
      <pivotArea dataOnly="0" labelOnly="1" fieldPosition="0">
        <references count="2">
          <reference field="1" count="1" selected="0">
            <x v="421"/>
          </reference>
          <reference field="2" count="1">
            <x v="3"/>
          </reference>
        </references>
      </pivotArea>
    </format>
    <format dxfId="2017">
      <pivotArea dataOnly="0" labelOnly="1" fieldPosition="0">
        <references count="2">
          <reference field="1" count="1" selected="0">
            <x v="422"/>
          </reference>
          <reference field="2" count="1">
            <x v="34"/>
          </reference>
        </references>
      </pivotArea>
    </format>
    <format dxfId="2016">
      <pivotArea dataOnly="0" labelOnly="1" fieldPosition="0">
        <references count="2">
          <reference field="1" count="1" selected="0">
            <x v="423"/>
          </reference>
          <reference field="2" count="2">
            <x v="52"/>
            <x v="78"/>
          </reference>
        </references>
      </pivotArea>
    </format>
    <format dxfId="2015">
      <pivotArea dataOnly="0" labelOnly="1" fieldPosition="0">
        <references count="2">
          <reference field="1" count="1" selected="0">
            <x v="424"/>
          </reference>
          <reference field="2" count="1">
            <x v="1"/>
          </reference>
        </references>
      </pivotArea>
    </format>
    <format dxfId="2014">
      <pivotArea dataOnly="0" labelOnly="1" fieldPosition="0">
        <references count="2">
          <reference field="1" count="1" selected="0">
            <x v="425"/>
          </reference>
          <reference field="2" count="1">
            <x v="53"/>
          </reference>
        </references>
      </pivotArea>
    </format>
    <format dxfId="2013">
      <pivotArea dataOnly="0" labelOnly="1" fieldPosition="0">
        <references count="2">
          <reference field="1" count="1" selected="0">
            <x v="426"/>
          </reference>
          <reference field="2" count="1">
            <x v="66"/>
          </reference>
        </references>
      </pivotArea>
    </format>
    <format dxfId="2012">
      <pivotArea dataOnly="0" labelOnly="1" fieldPosition="0">
        <references count="2">
          <reference field="1" count="1" selected="0">
            <x v="427"/>
          </reference>
          <reference field="2" count="1">
            <x v="97"/>
          </reference>
        </references>
      </pivotArea>
    </format>
    <format dxfId="2011">
      <pivotArea dataOnly="0" labelOnly="1" fieldPosition="0">
        <references count="2">
          <reference field="1" count="1" selected="0">
            <x v="428"/>
          </reference>
          <reference field="2" count="1">
            <x v="34"/>
          </reference>
        </references>
      </pivotArea>
    </format>
    <format dxfId="2010">
      <pivotArea dataOnly="0" labelOnly="1" fieldPosition="0">
        <references count="2">
          <reference field="1" count="1" selected="0">
            <x v="429"/>
          </reference>
          <reference field="2" count="1">
            <x v="1"/>
          </reference>
        </references>
      </pivotArea>
    </format>
    <format dxfId="2009">
      <pivotArea dataOnly="0" labelOnly="1" fieldPosition="0">
        <references count="2">
          <reference field="1" count="1" selected="0">
            <x v="430"/>
          </reference>
          <reference field="2" count="1">
            <x v="53"/>
          </reference>
        </references>
      </pivotArea>
    </format>
    <format dxfId="2008">
      <pivotArea dataOnly="0" labelOnly="1" fieldPosition="0">
        <references count="2">
          <reference field="1" count="1" selected="0">
            <x v="431"/>
          </reference>
          <reference field="2" count="1">
            <x v="53"/>
          </reference>
        </references>
      </pivotArea>
    </format>
    <format dxfId="2007">
      <pivotArea dataOnly="0" labelOnly="1" fieldPosition="0">
        <references count="2">
          <reference field="1" count="1" selected="0">
            <x v="432"/>
          </reference>
          <reference field="2" count="1">
            <x v="52"/>
          </reference>
        </references>
      </pivotArea>
    </format>
    <format dxfId="2006">
      <pivotArea dataOnly="0" labelOnly="1" fieldPosition="0">
        <references count="2">
          <reference field="1" count="1" selected="0">
            <x v="433"/>
          </reference>
          <reference field="2" count="2">
            <x v="53"/>
            <x v="91"/>
          </reference>
        </references>
      </pivotArea>
    </format>
    <format dxfId="2005">
      <pivotArea dataOnly="0" labelOnly="1" fieldPosition="0">
        <references count="2">
          <reference field="1" count="1" selected="0">
            <x v="434"/>
          </reference>
          <reference field="2" count="1">
            <x v="94"/>
          </reference>
        </references>
      </pivotArea>
    </format>
    <format dxfId="2004">
      <pivotArea dataOnly="0" labelOnly="1" fieldPosition="0">
        <references count="2">
          <reference field="1" count="1" selected="0">
            <x v="435"/>
          </reference>
          <reference field="2" count="1">
            <x v="91"/>
          </reference>
        </references>
      </pivotArea>
    </format>
    <format dxfId="2003">
      <pivotArea dataOnly="0" labelOnly="1" fieldPosition="0">
        <references count="2">
          <reference field="1" count="1" selected="0">
            <x v="436"/>
          </reference>
          <reference field="2" count="1">
            <x v="52"/>
          </reference>
        </references>
      </pivotArea>
    </format>
    <format dxfId="2002">
      <pivotArea dataOnly="0" labelOnly="1" fieldPosition="0">
        <references count="2">
          <reference field="1" count="1" selected="0">
            <x v="437"/>
          </reference>
          <reference field="2" count="1">
            <x v="34"/>
          </reference>
        </references>
      </pivotArea>
    </format>
    <format dxfId="2001">
      <pivotArea dataOnly="0" labelOnly="1" fieldPosition="0">
        <references count="2">
          <reference field="1" count="1" selected="0">
            <x v="438"/>
          </reference>
          <reference field="2" count="1">
            <x v="16"/>
          </reference>
        </references>
      </pivotArea>
    </format>
    <format dxfId="2000">
      <pivotArea dataOnly="0" labelOnly="1" fieldPosition="0">
        <references count="2">
          <reference field="1" count="1" selected="0">
            <x v="439"/>
          </reference>
          <reference field="2" count="1">
            <x v="34"/>
          </reference>
        </references>
      </pivotArea>
    </format>
    <format dxfId="1999">
      <pivotArea dataOnly="0" labelOnly="1" fieldPosition="0">
        <references count="2">
          <reference field="1" count="1" selected="0">
            <x v="440"/>
          </reference>
          <reference field="2" count="1">
            <x v="34"/>
          </reference>
        </references>
      </pivotArea>
    </format>
    <format dxfId="1998">
      <pivotArea dataOnly="0" labelOnly="1" fieldPosition="0">
        <references count="2">
          <reference field="1" count="1" selected="0">
            <x v="441"/>
          </reference>
          <reference field="2" count="1">
            <x v="52"/>
          </reference>
        </references>
      </pivotArea>
    </format>
    <format dxfId="1997">
      <pivotArea dataOnly="0" labelOnly="1" fieldPosition="0">
        <references count="2">
          <reference field="1" count="1" selected="0">
            <x v="442"/>
          </reference>
          <reference field="2" count="1">
            <x v="38"/>
          </reference>
        </references>
      </pivotArea>
    </format>
    <format dxfId="1996">
      <pivotArea dataOnly="0" labelOnly="1" fieldPosition="0">
        <references count="2">
          <reference field="1" count="1" selected="0">
            <x v="443"/>
          </reference>
          <reference field="2" count="1">
            <x v="5"/>
          </reference>
        </references>
      </pivotArea>
    </format>
    <format dxfId="1995">
      <pivotArea dataOnly="0" labelOnly="1" fieldPosition="0">
        <references count="2">
          <reference field="1" count="1" selected="0">
            <x v="444"/>
          </reference>
          <reference field="2" count="1">
            <x v="52"/>
          </reference>
        </references>
      </pivotArea>
    </format>
    <format dxfId="1994">
      <pivotArea dataOnly="0" labelOnly="1" fieldPosition="0">
        <references count="2">
          <reference field="1" count="1" selected="0">
            <x v="445"/>
          </reference>
          <reference field="2" count="1">
            <x v="3"/>
          </reference>
        </references>
      </pivotArea>
    </format>
    <format dxfId="1993">
      <pivotArea dataOnly="0" labelOnly="1" fieldPosition="0">
        <references count="2">
          <reference field="1" count="1" selected="0">
            <x v="446"/>
          </reference>
          <reference field="2" count="1">
            <x v="53"/>
          </reference>
        </references>
      </pivotArea>
    </format>
    <format dxfId="1992">
      <pivotArea dataOnly="0" labelOnly="1" fieldPosition="0">
        <references count="2">
          <reference field="1" count="1" selected="0">
            <x v="447"/>
          </reference>
          <reference field="2" count="1">
            <x v="53"/>
          </reference>
        </references>
      </pivotArea>
    </format>
    <format dxfId="1991">
      <pivotArea dataOnly="0" labelOnly="1" fieldPosition="0">
        <references count="2">
          <reference field="1" count="1" selected="0">
            <x v="448"/>
          </reference>
          <reference field="2" count="1">
            <x v="66"/>
          </reference>
        </references>
      </pivotArea>
    </format>
    <format dxfId="1990">
      <pivotArea dataOnly="0" labelOnly="1" fieldPosition="0">
        <references count="2">
          <reference field="1" count="1" selected="0">
            <x v="449"/>
          </reference>
          <reference field="2" count="1">
            <x v="30"/>
          </reference>
        </references>
      </pivotArea>
    </format>
    <format dxfId="1989">
      <pivotArea dataOnly="0" labelOnly="1" fieldPosition="0">
        <references count="2">
          <reference field="1" count="1" selected="0">
            <x v="450"/>
          </reference>
          <reference field="2" count="1">
            <x v="53"/>
          </reference>
        </references>
      </pivotArea>
    </format>
    <format dxfId="1988">
      <pivotArea dataOnly="0" labelOnly="1" fieldPosition="0">
        <references count="2">
          <reference field="1" count="1" selected="0">
            <x v="451"/>
          </reference>
          <reference field="2" count="2">
            <x v="1"/>
            <x v="25"/>
          </reference>
        </references>
      </pivotArea>
    </format>
    <format dxfId="1987">
      <pivotArea dataOnly="0" labelOnly="1" fieldPosition="0">
        <references count="2">
          <reference field="1" count="1" selected="0">
            <x v="452"/>
          </reference>
          <reference field="2" count="2">
            <x v="52"/>
            <x v="103"/>
          </reference>
        </references>
      </pivotArea>
    </format>
    <format dxfId="1986">
      <pivotArea dataOnly="0" labelOnly="1" fieldPosition="0">
        <references count="2">
          <reference field="1" count="1" selected="0">
            <x v="453"/>
          </reference>
          <reference field="2" count="1">
            <x v="53"/>
          </reference>
        </references>
      </pivotArea>
    </format>
    <format dxfId="1985">
      <pivotArea dataOnly="0" labelOnly="1" fieldPosition="0">
        <references count="2">
          <reference field="1" count="1" selected="0">
            <x v="454"/>
          </reference>
          <reference field="2" count="1">
            <x v="66"/>
          </reference>
        </references>
      </pivotArea>
    </format>
    <format dxfId="1984">
      <pivotArea dataOnly="0" labelOnly="1" fieldPosition="0">
        <references count="2">
          <reference field="1" count="1" selected="0">
            <x v="455"/>
          </reference>
          <reference field="2" count="1">
            <x v="23"/>
          </reference>
        </references>
      </pivotArea>
    </format>
    <format dxfId="1983">
      <pivotArea dataOnly="0" labelOnly="1" fieldPosition="0">
        <references count="2">
          <reference field="1" count="1" selected="0">
            <x v="456"/>
          </reference>
          <reference field="2" count="1">
            <x v="53"/>
          </reference>
        </references>
      </pivotArea>
    </format>
    <format dxfId="1982">
      <pivotArea dataOnly="0" labelOnly="1" fieldPosition="0">
        <references count="2">
          <reference field="1" count="1" selected="0">
            <x v="457"/>
          </reference>
          <reference field="2" count="1">
            <x v="84"/>
          </reference>
        </references>
      </pivotArea>
    </format>
    <format dxfId="1981">
      <pivotArea dataOnly="0" labelOnly="1" fieldPosition="0">
        <references count="2">
          <reference field="1" count="1" selected="0">
            <x v="458"/>
          </reference>
          <reference field="2" count="1">
            <x v="53"/>
          </reference>
        </references>
      </pivotArea>
    </format>
    <format dxfId="1980">
      <pivotArea dataOnly="0" labelOnly="1" fieldPosition="0">
        <references count="2">
          <reference field="1" count="1" selected="0">
            <x v="459"/>
          </reference>
          <reference field="2" count="1">
            <x v="38"/>
          </reference>
        </references>
      </pivotArea>
    </format>
    <format dxfId="1979">
      <pivotArea dataOnly="0" labelOnly="1" fieldPosition="0">
        <references count="2">
          <reference field="1" count="1" selected="0">
            <x v="460"/>
          </reference>
          <reference field="2" count="1">
            <x v="52"/>
          </reference>
        </references>
      </pivotArea>
    </format>
    <format dxfId="1978">
      <pivotArea dataOnly="0" labelOnly="1" fieldPosition="0">
        <references count="2">
          <reference field="1" count="1" selected="0">
            <x v="461"/>
          </reference>
          <reference field="2" count="1">
            <x v="73"/>
          </reference>
        </references>
      </pivotArea>
    </format>
    <format dxfId="1977">
      <pivotArea dataOnly="0" labelOnly="1" fieldPosition="0">
        <references count="2">
          <reference field="1" count="1" selected="0">
            <x v="462"/>
          </reference>
          <reference field="2" count="1">
            <x v="65"/>
          </reference>
        </references>
      </pivotArea>
    </format>
    <format dxfId="1976">
      <pivotArea dataOnly="0" labelOnly="1" fieldPosition="0">
        <references count="2">
          <reference field="1" count="1" selected="0">
            <x v="463"/>
          </reference>
          <reference field="2" count="1">
            <x v="52"/>
          </reference>
        </references>
      </pivotArea>
    </format>
    <format dxfId="1975">
      <pivotArea dataOnly="0" labelOnly="1" fieldPosition="0">
        <references count="2">
          <reference field="1" count="1" selected="0">
            <x v="464"/>
          </reference>
          <reference field="2" count="1">
            <x v="52"/>
          </reference>
        </references>
      </pivotArea>
    </format>
    <format dxfId="1974">
      <pivotArea dataOnly="0" labelOnly="1" fieldPosition="0">
        <references count="2">
          <reference field="1" count="1" selected="0">
            <x v="465"/>
          </reference>
          <reference field="2" count="1">
            <x v="87"/>
          </reference>
        </references>
      </pivotArea>
    </format>
    <format dxfId="1973">
      <pivotArea dataOnly="0" labelOnly="1" fieldPosition="0">
        <references count="2">
          <reference field="1" count="1" selected="0">
            <x v="466"/>
          </reference>
          <reference field="2" count="1">
            <x v="52"/>
          </reference>
        </references>
      </pivotArea>
    </format>
    <format dxfId="1972">
      <pivotArea dataOnly="0" labelOnly="1" fieldPosition="0">
        <references count="2">
          <reference field="1" count="1" selected="0">
            <x v="467"/>
          </reference>
          <reference field="2" count="1">
            <x v="58"/>
          </reference>
        </references>
      </pivotArea>
    </format>
    <format dxfId="1971">
      <pivotArea dataOnly="0" labelOnly="1" fieldPosition="0">
        <references count="2">
          <reference field="1" count="1" selected="0">
            <x v="468"/>
          </reference>
          <reference field="2" count="1">
            <x v="42"/>
          </reference>
        </references>
      </pivotArea>
    </format>
    <format dxfId="1970">
      <pivotArea dataOnly="0" labelOnly="1" fieldPosition="0">
        <references count="2">
          <reference field="1" count="1" selected="0">
            <x v="469"/>
          </reference>
          <reference field="2" count="1">
            <x v="1"/>
          </reference>
        </references>
      </pivotArea>
    </format>
    <format dxfId="1969">
      <pivotArea dataOnly="0" labelOnly="1" fieldPosition="0">
        <references count="2">
          <reference field="1" count="1" selected="0">
            <x v="470"/>
          </reference>
          <reference field="2" count="1">
            <x v="23"/>
          </reference>
        </references>
      </pivotArea>
    </format>
    <format dxfId="1968">
      <pivotArea dataOnly="0" labelOnly="1" fieldPosition="0">
        <references count="2">
          <reference field="1" count="1" selected="0">
            <x v="471"/>
          </reference>
          <reference field="2" count="1">
            <x v="13"/>
          </reference>
        </references>
      </pivotArea>
    </format>
    <format dxfId="1967">
      <pivotArea dataOnly="0" labelOnly="1" fieldPosition="0">
        <references count="2">
          <reference field="1" count="1" selected="0">
            <x v="472"/>
          </reference>
          <reference field="2" count="1">
            <x v="52"/>
          </reference>
        </references>
      </pivotArea>
    </format>
    <format dxfId="1966">
      <pivotArea dataOnly="0" labelOnly="1" fieldPosition="0">
        <references count="2">
          <reference field="1" count="1" selected="0">
            <x v="473"/>
          </reference>
          <reference field="2" count="1">
            <x v="83"/>
          </reference>
        </references>
      </pivotArea>
    </format>
    <format dxfId="1965">
      <pivotArea dataOnly="0" labelOnly="1" fieldPosition="0">
        <references count="2">
          <reference field="1" count="1" selected="0">
            <x v="474"/>
          </reference>
          <reference field="2" count="1">
            <x v="73"/>
          </reference>
        </references>
      </pivotArea>
    </format>
    <format dxfId="1964">
      <pivotArea dataOnly="0" labelOnly="1" fieldPosition="0">
        <references count="2">
          <reference field="1" count="1" selected="0">
            <x v="475"/>
          </reference>
          <reference field="2" count="1">
            <x v="1"/>
          </reference>
        </references>
      </pivotArea>
    </format>
    <format dxfId="1963">
      <pivotArea dataOnly="0" labelOnly="1" fieldPosition="0">
        <references count="2">
          <reference field="1" count="1" selected="0">
            <x v="476"/>
          </reference>
          <reference field="2" count="1">
            <x v="52"/>
          </reference>
        </references>
      </pivotArea>
    </format>
    <format dxfId="1962">
      <pivotArea dataOnly="0" labelOnly="1" fieldPosition="0">
        <references count="2">
          <reference field="1" count="1" selected="0">
            <x v="477"/>
          </reference>
          <reference field="2" count="1">
            <x v="52"/>
          </reference>
        </references>
      </pivotArea>
    </format>
    <format dxfId="1961">
      <pivotArea dataOnly="0" labelOnly="1" fieldPosition="0">
        <references count="2">
          <reference field="1" count="1" selected="0">
            <x v="478"/>
          </reference>
          <reference field="2" count="1">
            <x v="34"/>
          </reference>
        </references>
      </pivotArea>
    </format>
    <format dxfId="1960">
      <pivotArea dataOnly="0" labelOnly="1" fieldPosition="0">
        <references count="2">
          <reference field="1" count="1" selected="0">
            <x v="479"/>
          </reference>
          <reference field="2" count="1">
            <x v="47"/>
          </reference>
        </references>
      </pivotArea>
    </format>
    <format dxfId="1959">
      <pivotArea dataOnly="0" labelOnly="1" fieldPosition="0">
        <references count="2">
          <reference field="1" count="1" selected="0">
            <x v="480"/>
          </reference>
          <reference field="2" count="1">
            <x v="1"/>
          </reference>
        </references>
      </pivotArea>
    </format>
    <format dxfId="1958">
      <pivotArea dataOnly="0" labelOnly="1" fieldPosition="0">
        <references count="2">
          <reference field="1" count="1" selected="0">
            <x v="481"/>
          </reference>
          <reference field="2" count="1">
            <x v="86"/>
          </reference>
        </references>
      </pivotArea>
    </format>
    <format dxfId="1957">
      <pivotArea dataOnly="0" labelOnly="1" fieldPosition="0">
        <references count="2">
          <reference field="1" count="1" selected="0">
            <x v="482"/>
          </reference>
          <reference field="2" count="1">
            <x v="52"/>
          </reference>
        </references>
      </pivotArea>
    </format>
    <format dxfId="1956">
      <pivotArea dataOnly="0" labelOnly="1" fieldPosition="0">
        <references count="2">
          <reference field="1" count="1" selected="0">
            <x v="483"/>
          </reference>
          <reference field="2" count="1">
            <x v="18"/>
          </reference>
        </references>
      </pivotArea>
    </format>
    <format dxfId="1955">
      <pivotArea dataOnly="0" labelOnly="1" fieldPosition="0">
        <references count="2">
          <reference field="1" count="1" selected="0">
            <x v="484"/>
          </reference>
          <reference field="2" count="1">
            <x v="55"/>
          </reference>
        </references>
      </pivotArea>
    </format>
    <format dxfId="1954">
      <pivotArea dataOnly="0" labelOnly="1" fieldPosition="0">
        <references count="2">
          <reference field="1" count="1" selected="0">
            <x v="485"/>
          </reference>
          <reference field="2" count="1">
            <x v="23"/>
          </reference>
        </references>
      </pivotArea>
    </format>
    <format dxfId="1953">
      <pivotArea dataOnly="0" labelOnly="1" fieldPosition="0">
        <references count="2">
          <reference field="1" count="1" selected="0">
            <x v="486"/>
          </reference>
          <reference field="2" count="1">
            <x v="86"/>
          </reference>
        </references>
      </pivotArea>
    </format>
    <format dxfId="1952">
      <pivotArea dataOnly="0" labelOnly="1" fieldPosition="0">
        <references count="2">
          <reference field="1" count="1" selected="0">
            <x v="487"/>
          </reference>
          <reference field="2" count="1">
            <x v="68"/>
          </reference>
        </references>
      </pivotArea>
    </format>
    <format dxfId="1951">
      <pivotArea dataOnly="0" labelOnly="1" fieldPosition="0">
        <references count="2">
          <reference field="1" count="1" selected="0">
            <x v="488"/>
          </reference>
          <reference field="2" count="1">
            <x v="66"/>
          </reference>
        </references>
      </pivotArea>
    </format>
    <format dxfId="1950">
      <pivotArea dataOnly="0" labelOnly="1" fieldPosition="0">
        <references count="2">
          <reference field="1" count="1" selected="0">
            <x v="489"/>
          </reference>
          <reference field="2" count="1">
            <x v="52"/>
          </reference>
        </references>
      </pivotArea>
    </format>
    <format dxfId="1949">
      <pivotArea dataOnly="0" labelOnly="1" fieldPosition="0">
        <references count="2">
          <reference field="1" count="1" selected="0">
            <x v="490"/>
          </reference>
          <reference field="2" count="1">
            <x v="34"/>
          </reference>
        </references>
      </pivotArea>
    </format>
    <format dxfId="1948">
      <pivotArea dataOnly="0" labelOnly="1" fieldPosition="0">
        <references count="2">
          <reference field="1" count="1" selected="0">
            <x v="491"/>
          </reference>
          <reference field="2" count="1">
            <x v="23"/>
          </reference>
        </references>
      </pivotArea>
    </format>
    <format dxfId="1947">
      <pivotArea dataOnly="0" labelOnly="1" fieldPosition="0">
        <references count="2">
          <reference field="1" count="1" selected="0">
            <x v="492"/>
          </reference>
          <reference field="2" count="1">
            <x v="90"/>
          </reference>
        </references>
      </pivotArea>
    </format>
    <format dxfId="1946">
      <pivotArea dataOnly="0" labelOnly="1" fieldPosition="0">
        <references count="2">
          <reference field="1" count="1" selected="0">
            <x v="493"/>
          </reference>
          <reference field="2" count="1">
            <x v="34"/>
          </reference>
        </references>
      </pivotArea>
    </format>
    <format dxfId="1945">
      <pivotArea dataOnly="0" labelOnly="1" fieldPosition="0">
        <references count="2">
          <reference field="1" count="1" selected="0">
            <x v="494"/>
          </reference>
          <reference field="2" count="1">
            <x v="23"/>
          </reference>
        </references>
      </pivotArea>
    </format>
    <format dxfId="1944">
      <pivotArea dataOnly="0" labelOnly="1" fieldPosition="0">
        <references count="2">
          <reference field="1" count="1" selected="0">
            <x v="495"/>
          </reference>
          <reference field="2" count="1">
            <x v="90"/>
          </reference>
        </references>
      </pivotArea>
    </format>
    <format dxfId="1943">
      <pivotArea dataOnly="0" labelOnly="1" fieldPosition="0">
        <references count="2">
          <reference field="1" count="1" selected="0">
            <x v="496"/>
          </reference>
          <reference field="2" count="1">
            <x v="34"/>
          </reference>
        </references>
      </pivotArea>
    </format>
    <format dxfId="1942">
      <pivotArea dataOnly="0" labelOnly="1" fieldPosition="0">
        <references count="2">
          <reference field="1" count="1" selected="0">
            <x v="497"/>
          </reference>
          <reference field="2" count="1">
            <x v="51"/>
          </reference>
        </references>
      </pivotArea>
    </format>
    <format dxfId="1941">
      <pivotArea dataOnly="0" labelOnly="1" fieldPosition="0">
        <references count="2">
          <reference field="1" count="1" selected="0">
            <x v="498"/>
          </reference>
          <reference field="2" count="1">
            <x v="23"/>
          </reference>
        </references>
      </pivotArea>
    </format>
    <format dxfId="1940">
      <pivotArea dataOnly="0" labelOnly="1" fieldPosition="0">
        <references count="2">
          <reference field="1" count="1" selected="0">
            <x v="499"/>
          </reference>
          <reference field="2" count="1">
            <x v="34"/>
          </reference>
        </references>
      </pivotArea>
    </format>
    <format dxfId="1939">
      <pivotArea dataOnly="0" labelOnly="1" fieldPosition="0">
        <references count="2">
          <reference field="1" count="1" selected="0">
            <x v="500"/>
          </reference>
          <reference field="2" count="1">
            <x v="52"/>
          </reference>
        </references>
      </pivotArea>
    </format>
    <format dxfId="1938">
      <pivotArea dataOnly="0" labelOnly="1" fieldPosition="0">
        <references count="2">
          <reference field="1" count="1" selected="0">
            <x v="501"/>
          </reference>
          <reference field="2" count="1">
            <x v="90"/>
          </reference>
        </references>
      </pivotArea>
    </format>
    <format dxfId="1937">
      <pivotArea dataOnly="0" labelOnly="1" fieldPosition="0">
        <references count="2">
          <reference field="1" count="1" selected="0">
            <x v="502"/>
          </reference>
          <reference field="2" count="1">
            <x v="52"/>
          </reference>
        </references>
      </pivotArea>
    </format>
    <format dxfId="1936">
      <pivotArea dataOnly="0" labelOnly="1" fieldPosition="0">
        <references count="2">
          <reference field="1" count="1" selected="0">
            <x v="503"/>
          </reference>
          <reference field="2" count="1">
            <x v="99"/>
          </reference>
        </references>
      </pivotArea>
    </format>
    <format dxfId="1935">
      <pivotArea dataOnly="0" labelOnly="1" fieldPosition="0">
        <references count="2">
          <reference field="1" count="1" selected="0">
            <x v="504"/>
          </reference>
          <reference field="2" count="1">
            <x v="23"/>
          </reference>
        </references>
      </pivotArea>
    </format>
    <format dxfId="1934">
      <pivotArea dataOnly="0" labelOnly="1" fieldPosition="0">
        <references count="2">
          <reference field="1" count="1" selected="0">
            <x v="505"/>
          </reference>
          <reference field="2" count="1">
            <x v="53"/>
          </reference>
        </references>
      </pivotArea>
    </format>
    <format dxfId="1933">
      <pivotArea dataOnly="0" labelOnly="1" fieldPosition="0">
        <references count="2">
          <reference field="1" count="1" selected="0">
            <x v="506"/>
          </reference>
          <reference field="2" count="1">
            <x v="50"/>
          </reference>
        </references>
      </pivotArea>
    </format>
    <format dxfId="1932">
      <pivotArea dataOnly="0" labelOnly="1" fieldPosition="0">
        <references count="2">
          <reference field="1" count="1" selected="0">
            <x v="507"/>
          </reference>
          <reference field="2" count="1">
            <x v="34"/>
          </reference>
        </references>
      </pivotArea>
    </format>
    <format dxfId="1931">
      <pivotArea dataOnly="0" labelOnly="1" fieldPosition="0">
        <references count="2">
          <reference field="1" count="1" selected="0">
            <x v="508"/>
          </reference>
          <reference field="2" count="1">
            <x v="52"/>
          </reference>
        </references>
      </pivotArea>
    </format>
    <format dxfId="1930">
      <pivotArea dataOnly="0" labelOnly="1" fieldPosition="0">
        <references count="2">
          <reference field="1" count="1" selected="0">
            <x v="509"/>
          </reference>
          <reference field="2" count="1">
            <x v="23"/>
          </reference>
        </references>
      </pivotArea>
    </format>
    <format dxfId="1929">
      <pivotArea dataOnly="0" labelOnly="1" fieldPosition="0">
        <references count="2">
          <reference field="1" count="1" selected="0">
            <x v="510"/>
          </reference>
          <reference field="2" count="1">
            <x v="52"/>
          </reference>
        </references>
      </pivotArea>
    </format>
    <format dxfId="1928">
      <pivotArea dataOnly="0" labelOnly="1" fieldPosition="0">
        <references count="2">
          <reference field="1" count="1" selected="0">
            <x v="511"/>
          </reference>
          <reference field="2" count="1">
            <x v="52"/>
          </reference>
        </references>
      </pivotArea>
    </format>
    <format dxfId="1927">
      <pivotArea dataOnly="0" labelOnly="1" fieldPosition="0">
        <references count="2">
          <reference field="1" count="1" selected="0">
            <x v="512"/>
          </reference>
          <reference field="2" count="1">
            <x v="29"/>
          </reference>
        </references>
      </pivotArea>
    </format>
    <format dxfId="1926">
      <pivotArea dataOnly="0" labelOnly="1" fieldPosition="0">
        <references count="2">
          <reference field="1" count="1" selected="0">
            <x v="513"/>
          </reference>
          <reference field="2" count="1">
            <x v="52"/>
          </reference>
        </references>
      </pivotArea>
    </format>
    <format dxfId="1925">
      <pivotArea dataOnly="0" labelOnly="1" fieldPosition="0">
        <references count="2">
          <reference field="1" count="1" selected="0">
            <x v="514"/>
          </reference>
          <reference field="2" count="1">
            <x v="71"/>
          </reference>
        </references>
      </pivotArea>
    </format>
    <format dxfId="1924">
      <pivotArea dataOnly="0" labelOnly="1" fieldPosition="0">
        <references count="2">
          <reference field="1" count="1" selected="0">
            <x v="515"/>
          </reference>
          <reference field="2" count="1">
            <x v="1"/>
          </reference>
        </references>
      </pivotArea>
    </format>
    <format dxfId="1923">
      <pivotArea dataOnly="0" labelOnly="1" fieldPosition="0">
        <references count="2">
          <reference field="1" count="1" selected="0">
            <x v="516"/>
          </reference>
          <reference field="2" count="1">
            <x v="66"/>
          </reference>
        </references>
      </pivotArea>
    </format>
    <format dxfId="1922">
      <pivotArea dataOnly="0" labelOnly="1" fieldPosition="0">
        <references count="2">
          <reference field="1" count="1" selected="0">
            <x v="517"/>
          </reference>
          <reference field="2" count="1">
            <x v="53"/>
          </reference>
        </references>
      </pivotArea>
    </format>
    <format dxfId="1921">
      <pivotArea dataOnly="0" labelOnly="1" fieldPosition="0">
        <references count="2">
          <reference field="1" count="1" selected="0">
            <x v="518"/>
          </reference>
          <reference field="2" count="1">
            <x v="34"/>
          </reference>
        </references>
      </pivotArea>
    </format>
    <format dxfId="1920">
      <pivotArea dataOnly="0" labelOnly="1" fieldPosition="0">
        <references count="2">
          <reference field="1" count="1" selected="0">
            <x v="519"/>
          </reference>
          <reference field="2" count="1">
            <x v="12"/>
          </reference>
        </references>
      </pivotArea>
    </format>
    <format dxfId="1919">
      <pivotArea dataOnly="0" labelOnly="1" fieldPosition="0">
        <references count="2">
          <reference field="1" count="1" selected="0">
            <x v="520"/>
          </reference>
          <reference field="2" count="1">
            <x v="85"/>
          </reference>
        </references>
      </pivotArea>
    </format>
    <format dxfId="1918">
      <pivotArea dataOnly="0" labelOnly="1" fieldPosition="0">
        <references count="2">
          <reference field="1" count="1" selected="0">
            <x v="521"/>
          </reference>
          <reference field="2" count="1">
            <x v="41"/>
          </reference>
        </references>
      </pivotArea>
    </format>
    <format dxfId="1917">
      <pivotArea dataOnly="0" labelOnly="1" fieldPosition="0">
        <references count="2">
          <reference field="1" count="1" selected="0">
            <x v="522"/>
          </reference>
          <reference field="2" count="1">
            <x v="41"/>
          </reference>
        </references>
      </pivotArea>
    </format>
    <format dxfId="1916">
      <pivotArea dataOnly="0" labelOnly="1" fieldPosition="0">
        <references count="2">
          <reference field="1" count="1" selected="0">
            <x v="523"/>
          </reference>
          <reference field="2" count="1">
            <x v="41"/>
          </reference>
        </references>
      </pivotArea>
    </format>
    <format dxfId="1915">
      <pivotArea dataOnly="0" labelOnly="1" fieldPosition="0">
        <references count="2">
          <reference field="1" count="1" selected="0">
            <x v="524"/>
          </reference>
          <reference field="2" count="1">
            <x v="52"/>
          </reference>
        </references>
      </pivotArea>
    </format>
    <format dxfId="1914">
      <pivotArea dataOnly="0" labelOnly="1" fieldPosition="0">
        <references count="2">
          <reference field="1" count="1" selected="0">
            <x v="525"/>
          </reference>
          <reference field="2" count="1">
            <x v="34"/>
          </reference>
        </references>
      </pivotArea>
    </format>
    <format dxfId="1913">
      <pivotArea dataOnly="0" labelOnly="1" fieldPosition="0">
        <references count="2">
          <reference field="1" count="1" selected="0">
            <x v="526"/>
          </reference>
          <reference field="2" count="1">
            <x v="66"/>
          </reference>
        </references>
      </pivotArea>
    </format>
    <format dxfId="1912">
      <pivotArea dataOnly="0" labelOnly="1" fieldPosition="0">
        <references count="2">
          <reference field="1" count="1" selected="0">
            <x v="527"/>
          </reference>
          <reference field="2" count="1">
            <x v="52"/>
          </reference>
        </references>
      </pivotArea>
    </format>
    <format dxfId="1911">
      <pivotArea dataOnly="0" labelOnly="1" fieldPosition="0">
        <references count="2">
          <reference field="1" count="1" selected="0">
            <x v="528"/>
          </reference>
          <reference field="2" count="1">
            <x v="52"/>
          </reference>
        </references>
      </pivotArea>
    </format>
    <format dxfId="1910">
      <pivotArea dataOnly="0" labelOnly="1" fieldPosition="0">
        <references count="2">
          <reference field="1" count="1" selected="0">
            <x v="529"/>
          </reference>
          <reference field="2" count="1">
            <x v="73"/>
          </reference>
        </references>
      </pivotArea>
    </format>
    <format dxfId="1909">
      <pivotArea dataOnly="0" labelOnly="1" fieldPosition="0">
        <references count="2">
          <reference field="1" count="1" selected="0">
            <x v="530"/>
          </reference>
          <reference field="2" count="1">
            <x v="91"/>
          </reference>
        </references>
      </pivotArea>
    </format>
    <format dxfId="1908">
      <pivotArea dataOnly="0" labelOnly="1" fieldPosition="0">
        <references count="2">
          <reference field="1" count="1" selected="0">
            <x v="531"/>
          </reference>
          <reference field="2" count="1">
            <x v="1"/>
          </reference>
        </references>
      </pivotArea>
    </format>
    <format dxfId="1907">
      <pivotArea dataOnly="0" labelOnly="1" fieldPosition="0">
        <references count="2">
          <reference field="1" count="1" selected="0">
            <x v="532"/>
          </reference>
          <reference field="2" count="1">
            <x v="56"/>
          </reference>
        </references>
      </pivotArea>
    </format>
    <format dxfId="1906">
      <pivotArea dataOnly="0" labelOnly="1" fieldPosition="0">
        <references count="2">
          <reference field="1" count="1" selected="0">
            <x v="533"/>
          </reference>
          <reference field="2" count="1">
            <x v="44"/>
          </reference>
        </references>
      </pivotArea>
    </format>
    <format dxfId="1905">
      <pivotArea dataOnly="0" labelOnly="1" fieldPosition="0">
        <references count="2">
          <reference field="1" count="1" selected="0">
            <x v="534"/>
          </reference>
          <reference field="2" count="1">
            <x v="54"/>
          </reference>
        </references>
      </pivotArea>
    </format>
    <format dxfId="1904">
      <pivotArea dataOnly="0" labelOnly="1" fieldPosition="0">
        <references count="2">
          <reference field="1" count="1" selected="0">
            <x v="535"/>
          </reference>
          <reference field="2" count="1">
            <x v="91"/>
          </reference>
        </references>
      </pivotArea>
    </format>
    <format dxfId="1903">
      <pivotArea dataOnly="0" labelOnly="1" fieldPosition="0">
        <references count="2">
          <reference field="1" count="1" selected="0">
            <x v="536"/>
          </reference>
          <reference field="2" count="1">
            <x v="9"/>
          </reference>
        </references>
      </pivotArea>
    </format>
    <format dxfId="1902">
      <pivotArea dataOnly="0" labelOnly="1" fieldPosition="0">
        <references count="2">
          <reference field="1" count="1" selected="0">
            <x v="537"/>
          </reference>
          <reference field="2" count="1">
            <x v="86"/>
          </reference>
        </references>
      </pivotArea>
    </format>
    <format dxfId="1901">
      <pivotArea dataOnly="0" labelOnly="1" fieldPosition="0">
        <references count="2">
          <reference field="1" count="1" selected="0">
            <x v="538"/>
          </reference>
          <reference field="2" count="2">
            <x v="1"/>
            <x v="12"/>
          </reference>
        </references>
      </pivotArea>
    </format>
    <format dxfId="1900">
      <pivotArea dataOnly="0" labelOnly="1" fieldPosition="0">
        <references count="2">
          <reference field="1" count="1" selected="0">
            <x v="539"/>
          </reference>
          <reference field="2" count="1">
            <x v="102"/>
          </reference>
        </references>
      </pivotArea>
    </format>
    <format dxfId="1899">
      <pivotArea dataOnly="0" labelOnly="1" fieldPosition="0">
        <references count="2">
          <reference field="1" count="1" selected="0">
            <x v="540"/>
          </reference>
          <reference field="2" count="1">
            <x v="53"/>
          </reference>
        </references>
      </pivotArea>
    </format>
    <format dxfId="1898">
      <pivotArea dataOnly="0" labelOnly="1" fieldPosition="0">
        <references count="2">
          <reference field="1" count="1" selected="0">
            <x v="541"/>
          </reference>
          <reference field="2" count="1">
            <x v="34"/>
          </reference>
        </references>
      </pivotArea>
    </format>
    <format dxfId="1897">
      <pivotArea dataOnly="0" labelOnly="1" fieldPosition="0">
        <references count="2">
          <reference field="1" count="1" selected="0">
            <x v="542"/>
          </reference>
          <reference field="2" count="1">
            <x v="23"/>
          </reference>
        </references>
      </pivotArea>
    </format>
    <format dxfId="1896">
      <pivotArea dataOnly="0" labelOnly="1" fieldPosition="0">
        <references count="2">
          <reference field="1" count="1" selected="0">
            <x v="543"/>
          </reference>
          <reference field="2" count="1">
            <x v="38"/>
          </reference>
        </references>
      </pivotArea>
    </format>
    <format dxfId="1895">
      <pivotArea dataOnly="0" labelOnly="1" fieldPosition="0">
        <references count="2">
          <reference field="1" count="1" selected="0">
            <x v="544"/>
          </reference>
          <reference field="2" count="1">
            <x v="53"/>
          </reference>
        </references>
      </pivotArea>
    </format>
    <format dxfId="1894">
      <pivotArea dataOnly="0" labelOnly="1" fieldPosition="0">
        <references count="2">
          <reference field="1" count="1" selected="0">
            <x v="545"/>
          </reference>
          <reference field="2" count="1">
            <x v="34"/>
          </reference>
        </references>
      </pivotArea>
    </format>
    <format dxfId="1893">
      <pivotArea dataOnly="0" labelOnly="1" fieldPosition="0">
        <references count="2">
          <reference field="1" count="1" selected="0">
            <x v="546"/>
          </reference>
          <reference field="2" count="1">
            <x v="52"/>
          </reference>
        </references>
      </pivotArea>
    </format>
    <format dxfId="1892">
      <pivotArea dataOnly="0" labelOnly="1" fieldPosition="0">
        <references count="2">
          <reference field="1" count="1" selected="0">
            <x v="547"/>
          </reference>
          <reference field="2" count="1">
            <x v="1"/>
          </reference>
        </references>
      </pivotArea>
    </format>
    <format dxfId="1891">
      <pivotArea dataOnly="0" labelOnly="1" fieldPosition="0">
        <references count="2">
          <reference field="1" count="1" selected="0">
            <x v="548"/>
          </reference>
          <reference field="2" count="1">
            <x v="1"/>
          </reference>
        </references>
      </pivotArea>
    </format>
    <format dxfId="1890">
      <pivotArea dataOnly="0" labelOnly="1" fieldPosition="0">
        <references count="2">
          <reference field="1" count="1" selected="0">
            <x v="549"/>
          </reference>
          <reference field="2" count="1">
            <x v="52"/>
          </reference>
        </references>
      </pivotArea>
    </format>
    <format dxfId="1889">
      <pivotArea dataOnly="0" labelOnly="1" fieldPosition="0">
        <references count="2">
          <reference field="1" count="1" selected="0">
            <x v="550"/>
          </reference>
          <reference field="2" count="1">
            <x v="73"/>
          </reference>
        </references>
      </pivotArea>
    </format>
    <format dxfId="1888">
      <pivotArea dataOnly="0" labelOnly="1" fieldPosition="0">
        <references count="2">
          <reference field="1" count="1" selected="0">
            <x v="551"/>
          </reference>
          <reference field="2" count="1">
            <x v="23"/>
          </reference>
        </references>
      </pivotArea>
    </format>
    <format dxfId="1887">
      <pivotArea dataOnly="0" labelOnly="1" fieldPosition="0">
        <references count="2">
          <reference field="1" count="1" selected="0">
            <x v="552"/>
          </reference>
          <reference field="2" count="1">
            <x v="88"/>
          </reference>
        </references>
      </pivotArea>
    </format>
    <format dxfId="1886">
      <pivotArea dataOnly="0" labelOnly="1" fieldPosition="0">
        <references count="2">
          <reference field="1" count="1" selected="0">
            <x v="553"/>
          </reference>
          <reference field="2" count="1">
            <x v="23"/>
          </reference>
        </references>
      </pivotArea>
    </format>
    <format dxfId="1885">
      <pivotArea dataOnly="0" labelOnly="1" fieldPosition="0">
        <references count="2">
          <reference field="1" count="1" selected="0">
            <x v="554"/>
          </reference>
          <reference field="2" count="1">
            <x v="57"/>
          </reference>
        </references>
      </pivotArea>
    </format>
    <format dxfId="1884">
      <pivotArea dataOnly="0" labelOnly="1" fieldPosition="0">
        <references count="2">
          <reference field="1" count="1" selected="0">
            <x v="555"/>
          </reference>
          <reference field="2" count="1">
            <x v="1"/>
          </reference>
        </references>
      </pivotArea>
    </format>
    <format dxfId="1883">
      <pivotArea dataOnly="0" labelOnly="1" fieldPosition="0">
        <references count="2">
          <reference field="1" count="1" selected="0">
            <x v="556"/>
          </reference>
          <reference field="2" count="1">
            <x v="99"/>
          </reference>
        </references>
      </pivotArea>
    </format>
    <format dxfId="1882">
      <pivotArea dataOnly="0" labelOnly="1" fieldPosition="0">
        <references count="2">
          <reference field="1" count="1" selected="0">
            <x v="557"/>
          </reference>
          <reference field="2" count="1">
            <x v="91"/>
          </reference>
        </references>
      </pivotArea>
    </format>
    <format dxfId="1881">
      <pivotArea dataOnly="0" labelOnly="1" fieldPosition="0">
        <references count="2">
          <reference field="1" count="1" selected="0">
            <x v="558"/>
          </reference>
          <reference field="2" count="1">
            <x v="23"/>
          </reference>
        </references>
      </pivotArea>
    </format>
    <format dxfId="1880">
      <pivotArea dataOnly="0" labelOnly="1" fieldPosition="0">
        <references count="2">
          <reference field="1" count="1" selected="0">
            <x v="559"/>
          </reference>
          <reference field="2" count="1">
            <x v="49"/>
          </reference>
        </references>
      </pivotArea>
    </format>
    <format dxfId="1879">
      <pivotArea dataOnly="0" labelOnly="1" fieldPosition="0">
        <references count="2">
          <reference field="1" count="1" selected="0">
            <x v="560"/>
          </reference>
          <reference field="2" count="1">
            <x v="52"/>
          </reference>
        </references>
      </pivotArea>
    </format>
    <format dxfId="1878">
      <pivotArea dataOnly="0" labelOnly="1" fieldPosition="0">
        <references count="2">
          <reference field="1" count="1" selected="0">
            <x v="561"/>
          </reference>
          <reference field="2" count="1">
            <x v="44"/>
          </reference>
        </references>
      </pivotArea>
    </format>
    <format dxfId="1877">
      <pivotArea dataOnly="0" labelOnly="1" fieldPosition="0">
        <references count="2">
          <reference field="1" count="1" selected="0">
            <x v="562"/>
          </reference>
          <reference field="2" count="1">
            <x v="21"/>
          </reference>
        </references>
      </pivotArea>
    </format>
    <format dxfId="1876">
      <pivotArea dataOnly="0" labelOnly="1" fieldPosition="0">
        <references count="2">
          <reference field="1" count="1" selected="0">
            <x v="563"/>
          </reference>
          <reference field="2" count="1">
            <x v="15"/>
          </reference>
        </references>
      </pivotArea>
    </format>
    <format dxfId="1875">
      <pivotArea dataOnly="0" labelOnly="1" fieldPosition="0">
        <references count="2">
          <reference field="1" count="1" selected="0">
            <x v="564"/>
          </reference>
          <reference field="2" count="1">
            <x v="34"/>
          </reference>
        </references>
      </pivotArea>
    </format>
    <format dxfId="1874">
      <pivotArea dataOnly="0" labelOnly="1" fieldPosition="0">
        <references count="2">
          <reference field="1" count="1" selected="0">
            <x v="565"/>
          </reference>
          <reference field="2" count="1">
            <x v="80"/>
          </reference>
        </references>
      </pivotArea>
    </format>
    <format dxfId="1873">
      <pivotArea dataOnly="0" labelOnly="1" fieldPosition="0">
        <references count="2">
          <reference field="1" count="1" selected="0">
            <x v="566"/>
          </reference>
          <reference field="2" count="1">
            <x v="97"/>
          </reference>
        </references>
      </pivotArea>
    </format>
    <format dxfId="1872">
      <pivotArea dataOnly="0" labelOnly="1" fieldPosition="0">
        <references count="2">
          <reference field="1" count="1" selected="0">
            <x v="567"/>
          </reference>
          <reference field="2" count="1">
            <x v="23"/>
          </reference>
        </references>
      </pivotArea>
    </format>
    <format dxfId="1871">
      <pivotArea dataOnly="0" labelOnly="1" fieldPosition="0">
        <references count="2">
          <reference field="1" count="1" selected="0">
            <x v="568"/>
          </reference>
          <reference field="2" count="1">
            <x v="53"/>
          </reference>
        </references>
      </pivotArea>
    </format>
    <format dxfId="1870">
      <pivotArea dataOnly="0" labelOnly="1" fieldPosition="0">
        <references count="2">
          <reference field="1" count="1" selected="0">
            <x v="569"/>
          </reference>
          <reference field="2" count="1">
            <x v="1"/>
          </reference>
        </references>
      </pivotArea>
    </format>
    <format dxfId="1869">
      <pivotArea dataOnly="0" labelOnly="1" fieldPosition="0">
        <references count="2">
          <reference field="1" count="1" selected="0">
            <x v="570"/>
          </reference>
          <reference field="2" count="1">
            <x v="91"/>
          </reference>
        </references>
      </pivotArea>
    </format>
    <format dxfId="1868">
      <pivotArea dataOnly="0" labelOnly="1" fieldPosition="0">
        <references count="2">
          <reference field="1" count="1" selected="0">
            <x v="571"/>
          </reference>
          <reference field="2" count="1">
            <x v="34"/>
          </reference>
        </references>
      </pivotArea>
    </format>
    <format dxfId="1867">
      <pivotArea dataOnly="0" labelOnly="1" fieldPosition="0">
        <references count="2">
          <reference field="1" count="1" selected="0">
            <x v="572"/>
          </reference>
          <reference field="2" count="1">
            <x v="52"/>
          </reference>
        </references>
      </pivotArea>
    </format>
    <format dxfId="1866">
      <pivotArea dataOnly="0" labelOnly="1" fieldPosition="0">
        <references count="2">
          <reference field="1" count="1" selected="0">
            <x v="573"/>
          </reference>
          <reference field="2" count="1">
            <x v="48"/>
          </reference>
        </references>
      </pivotArea>
    </format>
    <format dxfId="1865">
      <pivotArea dataOnly="0" labelOnly="1" fieldPosition="0">
        <references count="2">
          <reference field="1" count="1" selected="0">
            <x v="574"/>
          </reference>
          <reference field="2" count="1">
            <x v="23"/>
          </reference>
        </references>
      </pivotArea>
    </format>
    <format dxfId="1864">
      <pivotArea dataOnly="0" labelOnly="1" fieldPosition="0">
        <references count="2">
          <reference field="1" count="1" selected="0">
            <x v="575"/>
          </reference>
          <reference field="2" count="1">
            <x v="34"/>
          </reference>
        </references>
      </pivotArea>
    </format>
    <format dxfId="1863">
      <pivotArea dataOnly="0" labelOnly="1" fieldPosition="0">
        <references count="2">
          <reference field="1" count="1" selected="0">
            <x v="576"/>
          </reference>
          <reference field="2" count="1">
            <x v="8"/>
          </reference>
        </references>
      </pivotArea>
    </format>
    <format dxfId="1862">
      <pivotArea dataOnly="0" labelOnly="1" fieldPosition="0">
        <references count="2">
          <reference field="1" count="1" selected="0">
            <x v="577"/>
          </reference>
          <reference field="2" count="1">
            <x v="1"/>
          </reference>
        </references>
      </pivotArea>
    </format>
    <format dxfId="1861">
      <pivotArea dataOnly="0" labelOnly="1" fieldPosition="0">
        <references count="2">
          <reference field="1" count="1" selected="0">
            <x v="578"/>
          </reference>
          <reference field="2" count="1">
            <x v="52"/>
          </reference>
        </references>
      </pivotArea>
    </format>
    <format dxfId="1860">
      <pivotArea dataOnly="0" labelOnly="1" fieldPosition="0">
        <references count="2">
          <reference field="1" count="1" selected="0">
            <x v="579"/>
          </reference>
          <reference field="2" count="1">
            <x v="1"/>
          </reference>
        </references>
      </pivotArea>
    </format>
    <format dxfId="1859">
      <pivotArea dataOnly="0" labelOnly="1" fieldPosition="0">
        <references count="2">
          <reference field="1" count="1" selected="0">
            <x v="580"/>
          </reference>
          <reference field="2" count="1">
            <x v="23"/>
          </reference>
        </references>
      </pivotArea>
    </format>
    <format dxfId="1858">
      <pivotArea dataOnly="0" labelOnly="1" fieldPosition="0">
        <references count="2">
          <reference field="1" count="1" selected="0">
            <x v="581"/>
          </reference>
          <reference field="2" count="1">
            <x v="6"/>
          </reference>
        </references>
      </pivotArea>
    </format>
    <format dxfId="1857">
      <pivotArea dataOnly="0" labelOnly="1" fieldPosition="0">
        <references count="2">
          <reference field="1" count="1" selected="0">
            <x v="582"/>
          </reference>
          <reference field="2" count="1">
            <x v="18"/>
          </reference>
        </references>
      </pivotArea>
    </format>
    <format dxfId="1856">
      <pivotArea dataOnly="0" labelOnly="1" fieldPosition="0">
        <references count="2">
          <reference field="1" count="1" selected="0">
            <x v="583"/>
          </reference>
          <reference field="2" count="1">
            <x v="38"/>
          </reference>
        </references>
      </pivotArea>
    </format>
    <format dxfId="1855">
      <pivotArea dataOnly="0" labelOnly="1" fieldPosition="0">
        <references count="2">
          <reference field="1" count="1" selected="0">
            <x v="584"/>
          </reference>
          <reference field="2" count="1">
            <x v="86"/>
          </reference>
        </references>
      </pivotArea>
    </format>
    <format dxfId="1854">
      <pivotArea dataOnly="0" labelOnly="1" fieldPosition="0">
        <references count="2">
          <reference field="1" count="1" selected="0">
            <x v="585"/>
          </reference>
          <reference field="2" count="1">
            <x v="63"/>
          </reference>
        </references>
      </pivotArea>
    </format>
    <format dxfId="1853">
      <pivotArea dataOnly="0" labelOnly="1" fieldPosition="0">
        <references count="2">
          <reference field="1" count="1" selected="0">
            <x v="586"/>
          </reference>
          <reference field="2" count="1">
            <x v="23"/>
          </reference>
        </references>
      </pivotArea>
    </format>
    <format dxfId="1852">
      <pivotArea dataOnly="0" labelOnly="1" fieldPosition="0">
        <references count="2">
          <reference field="1" count="1" selected="0">
            <x v="587"/>
          </reference>
          <reference field="2" count="1">
            <x v="96"/>
          </reference>
        </references>
      </pivotArea>
    </format>
    <format dxfId="1851">
      <pivotArea dataOnly="0" labelOnly="1" fieldPosition="0">
        <references count="2">
          <reference field="1" count="1" selected="0">
            <x v="588"/>
          </reference>
          <reference field="2" count="1">
            <x v="53"/>
          </reference>
        </references>
      </pivotArea>
    </format>
    <format dxfId="1850">
      <pivotArea dataOnly="0" labelOnly="1" fieldPosition="0">
        <references count="2">
          <reference field="1" count="1" selected="0">
            <x v="589"/>
          </reference>
          <reference field="2" count="1">
            <x v="1"/>
          </reference>
        </references>
      </pivotArea>
    </format>
    <format dxfId="1849">
      <pivotArea dataOnly="0" labelOnly="1" fieldPosition="0">
        <references count="2">
          <reference field="1" count="1" selected="0">
            <x v="590"/>
          </reference>
          <reference field="2" count="1">
            <x v="53"/>
          </reference>
        </references>
      </pivotArea>
    </format>
    <format dxfId="1848">
      <pivotArea dataOnly="0" labelOnly="1" fieldPosition="0">
        <references count="2">
          <reference field="1" count="1" selected="0">
            <x v="591"/>
          </reference>
          <reference field="2" count="1">
            <x v="23"/>
          </reference>
        </references>
      </pivotArea>
    </format>
    <format dxfId="1847">
      <pivotArea dataOnly="0" labelOnly="1" fieldPosition="0">
        <references count="2">
          <reference field="1" count="1" selected="0">
            <x v="592"/>
          </reference>
          <reference field="2" count="1">
            <x v="23"/>
          </reference>
        </references>
      </pivotArea>
    </format>
    <format dxfId="1846">
      <pivotArea dataOnly="0" labelOnly="1" fieldPosition="0">
        <references count="2">
          <reference field="1" count="1" selected="0">
            <x v="593"/>
          </reference>
          <reference field="2" count="1">
            <x v="64"/>
          </reference>
        </references>
      </pivotArea>
    </format>
    <format dxfId="1845">
      <pivotArea dataOnly="0" labelOnly="1" fieldPosition="0">
        <references count="2">
          <reference field="1" count="1" selected="0">
            <x v="594"/>
          </reference>
          <reference field="2" count="1">
            <x v="52"/>
          </reference>
        </references>
      </pivotArea>
    </format>
    <format dxfId="1844">
      <pivotArea dataOnly="0" labelOnly="1" fieldPosition="0">
        <references count="2">
          <reference field="1" count="1" selected="0">
            <x v="595"/>
          </reference>
          <reference field="2" count="1">
            <x v="2"/>
          </reference>
        </references>
      </pivotArea>
    </format>
    <format dxfId="1843">
      <pivotArea dataOnly="0" labelOnly="1" fieldPosition="0">
        <references count="2">
          <reference field="1" count="1" selected="0">
            <x v="596"/>
          </reference>
          <reference field="2" count="1">
            <x v="52"/>
          </reference>
        </references>
      </pivotArea>
    </format>
    <format dxfId="1842">
      <pivotArea dataOnly="0" labelOnly="1" fieldPosition="0">
        <references count="2">
          <reference field="1" count="1" selected="0">
            <x v="597"/>
          </reference>
          <reference field="2" count="1">
            <x v="8"/>
          </reference>
        </references>
      </pivotArea>
    </format>
    <format dxfId="1841">
      <pivotArea dataOnly="0" labelOnly="1" fieldPosition="0">
        <references count="2">
          <reference field="1" count="1" selected="0">
            <x v="598"/>
          </reference>
          <reference field="2" count="1">
            <x v="1"/>
          </reference>
        </references>
      </pivotArea>
    </format>
    <format dxfId="1840">
      <pivotArea dataOnly="0" labelOnly="1" fieldPosition="0">
        <references count="2">
          <reference field="1" count="1" selected="0">
            <x v="599"/>
          </reference>
          <reference field="2" count="2">
            <x v="53"/>
            <x v="73"/>
          </reference>
        </references>
      </pivotArea>
    </format>
    <format dxfId="1839">
      <pivotArea dataOnly="0" labelOnly="1" fieldPosition="0">
        <references count="2">
          <reference field="1" count="1" selected="0">
            <x v="600"/>
          </reference>
          <reference field="2" count="1">
            <x v="23"/>
          </reference>
        </references>
      </pivotArea>
    </format>
    <format dxfId="1838">
      <pivotArea dataOnly="0" labelOnly="1" fieldPosition="0">
        <references count="2">
          <reference field="1" count="1" selected="0">
            <x v="601"/>
          </reference>
          <reference field="2" count="1">
            <x v="101"/>
          </reference>
        </references>
      </pivotArea>
    </format>
    <format dxfId="1837">
      <pivotArea dataOnly="0" labelOnly="1" fieldPosition="0">
        <references count="2">
          <reference field="1" count="1" selected="0">
            <x v="602"/>
          </reference>
          <reference field="2" count="1">
            <x v="8"/>
          </reference>
        </references>
      </pivotArea>
    </format>
    <format dxfId="1836">
      <pivotArea dataOnly="0" labelOnly="1" fieldPosition="0">
        <references count="2">
          <reference field="1" count="1" selected="0">
            <x v="603"/>
          </reference>
          <reference field="2" count="1">
            <x v="1"/>
          </reference>
        </references>
      </pivotArea>
    </format>
    <format dxfId="1835">
      <pivotArea dataOnly="0" labelOnly="1" fieldPosition="0">
        <references count="2">
          <reference field="1" count="1" selected="0">
            <x v="604"/>
          </reference>
          <reference field="2" count="1">
            <x v="73"/>
          </reference>
        </references>
      </pivotArea>
    </format>
    <format dxfId="1834">
      <pivotArea dataOnly="0" labelOnly="1" fieldPosition="0">
        <references count="2">
          <reference field="1" count="1" selected="0">
            <x v="605"/>
          </reference>
          <reference field="2" count="1">
            <x v="52"/>
          </reference>
        </references>
      </pivotArea>
    </format>
    <format dxfId="1833">
      <pivotArea dataOnly="0" labelOnly="1" fieldPosition="0">
        <references count="2">
          <reference field="1" count="1" selected="0">
            <x v="606"/>
          </reference>
          <reference field="2" count="1">
            <x v="52"/>
          </reference>
        </references>
      </pivotArea>
    </format>
    <format dxfId="1832">
      <pivotArea dataOnly="0" labelOnly="1" fieldPosition="0">
        <references count="2">
          <reference field="1" count="1" selected="0">
            <x v="607"/>
          </reference>
          <reference field="2" count="1">
            <x v="53"/>
          </reference>
        </references>
      </pivotArea>
    </format>
    <format dxfId="1831">
      <pivotArea dataOnly="0" labelOnly="1" fieldPosition="0">
        <references count="2">
          <reference field="1" count="1" selected="0">
            <x v="608"/>
          </reference>
          <reference field="2" count="1">
            <x v="1"/>
          </reference>
        </references>
      </pivotArea>
    </format>
    <format dxfId="1830">
      <pivotArea dataOnly="0" labelOnly="1" fieldPosition="0">
        <references count="2">
          <reference field="1" count="1" selected="0">
            <x v="609"/>
          </reference>
          <reference field="2" count="1">
            <x v="1"/>
          </reference>
        </references>
      </pivotArea>
    </format>
    <format dxfId="1829">
      <pivotArea dataOnly="0" labelOnly="1" fieldPosition="0">
        <references count="2">
          <reference field="1" count="1" selected="0">
            <x v="610"/>
          </reference>
          <reference field="2" count="1">
            <x v="34"/>
          </reference>
        </references>
      </pivotArea>
    </format>
    <format dxfId="1828">
      <pivotArea dataOnly="0" labelOnly="1" fieldPosition="0">
        <references count="2">
          <reference field="1" count="1" selected="0">
            <x v="611"/>
          </reference>
          <reference field="2" count="1">
            <x v="53"/>
          </reference>
        </references>
      </pivotArea>
    </format>
    <format dxfId="1827">
      <pivotArea dataOnly="0" labelOnly="1" fieldPosition="0">
        <references count="2">
          <reference field="1" count="1" selected="0">
            <x v="612"/>
          </reference>
          <reference field="2" count="1">
            <x v="53"/>
          </reference>
        </references>
      </pivotArea>
    </format>
    <format dxfId="1826">
      <pivotArea dataOnly="0" labelOnly="1" fieldPosition="0">
        <references count="2">
          <reference field="1" count="1" selected="0">
            <x v="613"/>
          </reference>
          <reference field="2" count="1">
            <x v="52"/>
          </reference>
        </references>
      </pivotArea>
    </format>
    <format dxfId="1825">
      <pivotArea dataOnly="0" labelOnly="1" fieldPosition="0">
        <references count="2">
          <reference field="1" count="1" selected="0">
            <x v="614"/>
          </reference>
          <reference field="2" count="1">
            <x v="106"/>
          </reference>
        </references>
      </pivotArea>
    </format>
    <format dxfId="1824">
      <pivotArea dataOnly="0" labelOnly="1" fieldPosition="0">
        <references count="2">
          <reference field="1" count="1" selected="0">
            <x v="615"/>
          </reference>
          <reference field="2" count="1">
            <x v="38"/>
          </reference>
        </references>
      </pivotArea>
    </format>
    <format dxfId="1823">
      <pivotArea dataOnly="0" labelOnly="1" fieldPosition="0">
        <references count="2">
          <reference field="1" count="1" selected="0">
            <x v="616"/>
          </reference>
          <reference field="2" count="2">
            <x v="1"/>
            <x v="90"/>
          </reference>
        </references>
      </pivotArea>
    </format>
    <format dxfId="1822">
      <pivotArea dataOnly="0" labelOnly="1" fieldPosition="0">
        <references count="2">
          <reference field="1" count="1" selected="0">
            <x v="617"/>
          </reference>
          <reference field="2" count="1">
            <x v="52"/>
          </reference>
        </references>
      </pivotArea>
    </format>
    <format dxfId="1821">
      <pivotArea dataOnly="0" labelOnly="1" fieldPosition="0">
        <references count="2">
          <reference field="1" count="1" selected="0">
            <x v="618"/>
          </reference>
          <reference field="2" count="1">
            <x v="34"/>
          </reference>
        </references>
      </pivotArea>
    </format>
    <format dxfId="1820">
      <pivotArea dataOnly="0" labelOnly="1" fieldPosition="0">
        <references count="2">
          <reference field="1" count="1" selected="0">
            <x v="619"/>
          </reference>
          <reference field="2" count="1">
            <x v="23"/>
          </reference>
        </references>
      </pivotArea>
    </format>
    <format dxfId="1819">
      <pivotArea dataOnly="0" labelOnly="1" fieldPosition="0">
        <references count="2">
          <reference field="1" count="1" selected="0">
            <x v="620"/>
          </reference>
          <reference field="2" count="1">
            <x v="23"/>
          </reference>
        </references>
      </pivotArea>
    </format>
    <format dxfId="1818">
      <pivotArea dataOnly="0" labelOnly="1" fieldPosition="0">
        <references count="2">
          <reference field="1" count="1" selected="0">
            <x v="621"/>
          </reference>
          <reference field="2" count="1">
            <x v="34"/>
          </reference>
        </references>
      </pivotArea>
    </format>
    <format dxfId="1817">
      <pivotArea dataOnly="0" labelOnly="1" fieldPosition="0">
        <references count="2">
          <reference field="1" count="1" selected="0">
            <x v="622"/>
          </reference>
          <reference field="2" count="1">
            <x v="52"/>
          </reference>
        </references>
      </pivotArea>
    </format>
    <format dxfId="1816">
      <pivotArea dataOnly="0" labelOnly="1" fieldPosition="0">
        <references count="2">
          <reference field="1" count="1" selected="0">
            <x v="623"/>
          </reference>
          <reference field="2" count="1">
            <x v="34"/>
          </reference>
        </references>
      </pivotArea>
    </format>
    <format dxfId="1815">
      <pivotArea dataOnly="0" labelOnly="1" fieldPosition="0">
        <references count="2">
          <reference field="1" count="1" selected="0">
            <x v="624"/>
          </reference>
          <reference field="2" count="1">
            <x v="8"/>
          </reference>
        </references>
      </pivotArea>
    </format>
    <format dxfId="1814">
      <pivotArea dataOnly="0" labelOnly="1" fieldPosition="0">
        <references count="2">
          <reference field="1" count="1" selected="0">
            <x v="625"/>
          </reference>
          <reference field="2" count="1">
            <x v="19"/>
          </reference>
        </references>
      </pivotArea>
    </format>
    <format dxfId="1813">
      <pivotArea dataOnly="0" labelOnly="1" fieldPosition="0">
        <references count="2">
          <reference field="1" count="1" selected="0">
            <x v="626"/>
          </reference>
          <reference field="2" count="1">
            <x v="1"/>
          </reference>
        </references>
      </pivotArea>
    </format>
    <format dxfId="1812">
      <pivotArea dataOnly="0" labelOnly="1" fieldPosition="0">
        <references count="2">
          <reference field="1" count="1" selected="0">
            <x v="627"/>
          </reference>
          <reference field="2" count="1">
            <x v="8"/>
          </reference>
        </references>
      </pivotArea>
    </format>
    <format dxfId="1811">
      <pivotArea dataOnly="0" labelOnly="1" fieldPosition="0">
        <references count="2">
          <reference field="1" count="1" selected="0">
            <x v="628"/>
          </reference>
          <reference field="2" count="1">
            <x v="95"/>
          </reference>
        </references>
      </pivotArea>
    </format>
    <format dxfId="1810">
      <pivotArea dataOnly="0" labelOnly="1" fieldPosition="0">
        <references count="2">
          <reference field="1" count="1" selected="0">
            <x v="629"/>
          </reference>
          <reference field="2" count="1">
            <x v="52"/>
          </reference>
        </references>
      </pivotArea>
    </format>
    <format dxfId="1809">
      <pivotArea dataOnly="0" labelOnly="1" fieldPosition="0">
        <references count="2">
          <reference field="1" count="1" selected="0">
            <x v="630"/>
          </reference>
          <reference field="2" count="1">
            <x v="52"/>
          </reference>
        </references>
      </pivotArea>
    </format>
    <format dxfId="1808">
      <pivotArea dataOnly="0" labelOnly="1" fieldPosition="0">
        <references count="2">
          <reference field="1" count="1" selected="0">
            <x v="631"/>
          </reference>
          <reference field="2" count="2">
            <x v="23"/>
            <x v="73"/>
          </reference>
        </references>
      </pivotArea>
    </format>
    <format dxfId="1807">
      <pivotArea dataOnly="0" labelOnly="1" fieldPosition="0">
        <references count="2">
          <reference field="1" count="1" selected="0">
            <x v="632"/>
          </reference>
          <reference field="2" count="1">
            <x v="75"/>
          </reference>
        </references>
      </pivotArea>
    </format>
    <format dxfId="1806">
      <pivotArea dataOnly="0" labelOnly="1" fieldPosition="0">
        <references count="2">
          <reference field="1" count="1" selected="0">
            <x v="633"/>
          </reference>
          <reference field="2" count="1">
            <x v="86"/>
          </reference>
        </references>
      </pivotArea>
    </format>
    <format dxfId="1805">
      <pivotArea dataOnly="0" labelOnly="1" fieldPosition="0">
        <references count="2">
          <reference field="1" count="1" selected="0">
            <x v="634"/>
          </reference>
          <reference field="2" count="1">
            <x v="73"/>
          </reference>
        </references>
      </pivotArea>
    </format>
    <format dxfId="1804">
      <pivotArea dataOnly="0" labelOnly="1" fieldPosition="0">
        <references count="2">
          <reference field="1" count="1" selected="0">
            <x v="635"/>
          </reference>
          <reference field="2" count="1">
            <x v="34"/>
          </reference>
        </references>
      </pivotArea>
    </format>
    <format dxfId="1803">
      <pivotArea dataOnly="0" labelOnly="1" fieldPosition="0">
        <references count="2">
          <reference field="1" count="1" selected="0">
            <x v="636"/>
          </reference>
          <reference field="2" count="1">
            <x v="7"/>
          </reference>
        </references>
      </pivotArea>
    </format>
    <format dxfId="1802">
      <pivotArea dataOnly="0" labelOnly="1" fieldPosition="0">
        <references count="2">
          <reference field="1" count="1" selected="0">
            <x v="637"/>
          </reference>
          <reference field="2" count="1">
            <x v="1"/>
          </reference>
        </references>
      </pivotArea>
    </format>
    <format dxfId="1801">
      <pivotArea dataOnly="0" labelOnly="1" fieldPosition="0">
        <references count="2">
          <reference field="1" count="1" selected="0">
            <x v="638"/>
          </reference>
          <reference field="2" count="1">
            <x v="52"/>
          </reference>
        </references>
      </pivotArea>
    </format>
    <format dxfId="1800">
      <pivotArea dataOnly="0" labelOnly="1" fieldPosition="0">
        <references count="2">
          <reference field="1" count="1" selected="0">
            <x v="639"/>
          </reference>
          <reference field="2" count="1">
            <x v="52"/>
          </reference>
        </references>
      </pivotArea>
    </format>
    <format dxfId="1799">
      <pivotArea dataOnly="0" labelOnly="1" fieldPosition="0">
        <references count="2">
          <reference field="1" count="1" selected="0">
            <x v="640"/>
          </reference>
          <reference field="2" count="1">
            <x v="52"/>
          </reference>
        </references>
      </pivotArea>
    </format>
    <format dxfId="1798">
      <pivotArea dataOnly="0" labelOnly="1" fieldPosition="0">
        <references count="2">
          <reference field="1" count="1" selected="0">
            <x v="641"/>
          </reference>
          <reference field="2" count="1">
            <x v="52"/>
          </reference>
        </references>
      </pivotArea>
    </format>
    <format dxfId="1797">
      <pivotArea dataOnly="0" labelOnly="1" fieldPosition="0">
        <references count="2">
          <reference field="1" count="1" selected="0">
            <x v="642"/>
          </reference>
          <reference field="2" count="1">
            <x v="1"/>
          </reference>
        </references>
      </pivotArea>
    </format>
    <format dxfId="1796">
      <pivotArea dataOnly="0" labelOnly="1" fieldPosition="0">
        <references count="2">
          <reference field="1" count="1" selected="0">
            <x v="643"/>
          </reference>
          <reference field="2" count="1">
            <x v="53"/>
          </reference>
        </references>
      </pivotArea>
    </format>
    <format dxfId="1795">
      <pivotArea dataOnly="0" labelOnly="1" fieldPosition="0">
        <references count="2">
          <reference field="1" count="1" selected="0">
            <x v="644"/>
          </reference>
          <reference field="2" count="1">
            <x v="52"/>
          </reference>
        </references>
      </pivotArea>
    </format>
    <format dxfId="1794">
      <pivotArea dataOnly="0" labelOnly="1" fieldPosition="0">
        <references count="2">
          <reference field="1" count="1" selected="0">
            <x v="645"/>
          </reference>
          <reference field="2" count="1">
            <x v="100"/>
          </reference>
        </references>
      </pivotArea>
    </format>
    <format dxfId="1793">
      <pivotArea dataOnly="0" labelOnly="1" fieldPosition="0">
        <references count="2">
          <reference field="1" count="1" selected="0">
            <x v="646"/>
          </reference>
          <reference field="2" count="1">
            <x v="23"/>
          </reference>
        </references>
      </pivotArea>
    </format>
    <format dxfId="1792">
      <pivotArea dataOnly="0" labelOnly="1" fieldPosition="0">
        <references count="2">
          <reference field="1" count="1" selected="0">
            <x v="647"/>
          </reference>
          <reference field="2" count="1">
            <x v="53"/>
          </reference>
        </references>
      </pivotArea>
    </format>
    <format dxfId="1791">
      <pivotArea dataOnly="0" labelOnly="1" fieldPosition="0">
        <references count="2">
          <reference field="1" count="1" selected="0">
            <x v="648"/>
          </reference>
          <reference field="2" count="1">
            <x v="1"/>
          </reference>
        </references>
      </pivotArea>
    </format>
    <format dxfId="1790">
      <pivotArea dataOnly="0" labelOnly="1" fieldPosition="0">
        <references count="2">
          <reference field="1" count="1" selected="0">
            <x v="649"/>
          </reference>
          <reference field="2" count="1">
            <x v="73"/>
          </reference>
        </references>
      </pivotArea>
    </format>
    <format dxfId="1789">
      <pivotArea dataOnly="0" labelOnly="1" fieldPosition="0">
        <references count="2">
          <reference field="1" count="1" selected="0">
            <x v="650"/>
          </reference>
          <reference field="2" count="1">
            <x v="52"/>
          </reference>
        </references>
      </pivotArea>
    </format>
    <format dxfId="1788">
      <pivotArea dataOnly="0" labelOnly="1" fieldPosition="0">
        <references count="2">
          <reference field="1" count="1" selected="0">
            <x v="651"/>
          </reference>
          <reference field="2" count="1">
            <x v="105"/>
          </reference>
        </references>
      </pivotArea>
    </format>
    <format dxfId="1787">
      <pivotArea dataOnly="0" labelOnly="1" fieldPosition="0">
        <references count="2">
          <reference field="1" count="1" selected="0">
            <x v="652"/>
          </reference>
          <reference field="2" count="1">
            <x v="91"/>
          </reference>
        </references>
      </pivotArea>
    </format>
    <format dxfId="1786">
      <pivotArea dataOnly="0" labelOnly="1" fieldPosition="0">
        <references count="2">
          <reference field="1" count="1" selected="0">
            <x v="653"/>
          </reference>
          <reference field="2" count="1">
            <x v="52"/>
          </reference>
        </references>
      </pivotArea>
    </format>
    <format dxfId="1785">
      <pivotArea dataOnly="0" labelOnly="1" fieldPosition="0">
        <references count="2">
          <reference field="1" count="1" selected="0">
            <x v="654"/>
          </reference>
          <reference field="2" count="1">
            <x v="65"/>
          </reference>
        </references>
      </pivotArea>
    </format>
    <format dxfId="1784">
      <pivotArea dataOnly="0" labelOnly="1" fieldPosition="0">
        <references count="2">
          <reference field="1" count="1" selected="0">
            <x v="655"/>
          </reference>
          <reference field="2" count="1">
            <x v="53"/>
          </reference>
        </references>
      </pivotArea>
    </format>
    <format dxfId="1783">
      <pivotArea dataOnly="0" labelOnly="1" fieldPosition="0">
        <references count="2">
          <reference field="1" count="1" selected="0">
            <x v="656"/>
          </reference>
          <reference field="2" count="1">
            <x v="1"/>
          </reference>
        </references>
      </pivotArea>
    </format>
    <format dxfId="1782">
      <pivotArea dataOnly="0" labelOnly="1" fieldPosition="0">
        <references count="2">
          <reference field="1" count="1" selected="0">
            <x v="657"/>
          </reference>
          <reference field="2" count="1">
            <x v="6"/>
          </reference>
        </references>
      </pivotArea>
    </format>
    <format dxfId="1781">
      <pivotArea dataOnly="0" labelOnly="1" fieldPosition="0">
        <references count="2">
          <reference field="1" count="1" selected="0">
            <x v="658"/>
          </reference>
          <reference field="2" count="1">
            <x v="54"/>
          </reference>
        </references>
      </pivotArea>
    </format>
    <format dxfId="1780">
      <pivotArea dataOnly="0" labelOnly="1" fieldPosition="0">
        <references count="2">
          <reference field="1" count="1" selected="0">
            <x v="659"/>
          </reference>
          <reference field="2" count="1">
            <x v="20"/>
          </reference>
        </references>
      </pivotArea>
    </format>
    <format dxfId="1779">
      <pivotArea dataOnly="0" labelOnly="1" fieldPosition="0">
        <references count="2">
          <reference field="1" count="1" selected="0">
            <x v="660"/>
          </reference>
          <reference field="2" count="1">
            <x v="29"/>
          </reference>
        </references>
      </pivotArea>
    </format>
    <format dxfId="1778">
      <pivotArea dataOnly="0" labelOnly="1" fieldPosition="0">
        <references count="2">
          <reference field="1" count="1" selected="0">
            <x v="661"/>
          </reference>
          <reference field="2" count="1">
            <x v="12"/>
          </reference>
        </references>
      </pivotArea>
    </format>
    <format dxfId="1777">
      <pivotArea dataOnly="0" labelOnly="1" fieldPosition="0">
        <references count="2">
          <reference field="1" count="1" selected="0">
            <x v="662"/>
          </reference>
          <reference field="2" count="1">
            <x v="52"/>
          </reference>
        </references>
      </pivotArea>
    </format>
    <format dxfId="1776">
      <pivotArea dataOnly="0" labelOnly="1" fieldPosition="0">
        <references count="2">
          <reference field="1" count="1" selected="0">
            <x v="663"/>
          </reference>
          <reference field="2" count="1">
            <x v="91"/>
          </reference>
        </references>
      </pivotArea>
    </format>
    <format dxfId="1775">
      <pivotArea dataOnly="0" labelOnly="1" fieldPosition="0">
        <references count="2">
          <reference field="1" count="1" selected="0">
            <x v="664"/>
          </reference>
          <reference field="2" count="1">
            <x v="91"/>
          </reference>
        </references>
      </pivotArea>
    </format>
    <format dxfId="1774">
      <pivotArea dataOnly="0" labelOnly="1" fieldPosition="0">
        <references count="2">
          <reference field="1" count="1" selected="0">
            <x v="665"/>
          </reference>
          <reference field="2" count="1">
            <x v="52"/>
          </reference>
        </references>
      </pivotArea>
    </format>
    <format dxfId="1773">
      <pivotArea dataOnly="0" labelOnly="1" fieldPosition="0">
        <references count="2">
          <reference field="1" count="1" selected="0">
            <x v="666"/>
          </reference>
          <reference field="2" count="1">
            <x v="23"/>
          </reference>
        </references>
      </pivotArea>
    </format>
    <format dxfId="1772">
      <pivotArea dataOnly="0" labelOnly="1" fieldPosition="0">
        <references count="2">
          <reference field="1" count="1" selected="0">
            <x v="667"/>
          </reference>
          <reference field="2" count="1">
            <x v="52"/>
          </reference>
        </references>
      </pivotArea>
    </format>
    <format dxfId="1771">
      <pivotArea dataOnly="0" labelOnly="1" outline="0" fieldPosition="0">
        <references count="1">
          <reference field="4294967294" count="2">
            <x v="0"/>
            <x v="1"/>
          </reference>
        </references>
      </pivotArea>
    </format>
    <format dxfId="1770">
      <pivotArea type="all" dataOnly="0" outline="0" fieldPosition="0"/>
    </format>
    <format dxfId="1769">
      <pivotArea outline="0" collapsedLevelsAreSubtotals="1" fieldPosition="0"/>
    </format>
    <format dxfId="1768">
      <pivotArea field="1" type="button" dataOnly="0" labelOnly="1" outline="0" axis="axisRow" fieldPosition="0"/>
    </format>
    <format dxfId="176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76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65">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764">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763">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762">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761">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760">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759">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758">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757">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756">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755">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754">
      <pivotArea dataOnly="0" labelOnly="1" fieldPosition="0">
        <references count="1">
          <reference field="1" count="18">
            <x v="650"/>
            <x v="651"/>
            <x v="652"/>
            <x v="653"/>
            <x v="654"/>
            <x v="655"/>
            <x v="656"/>
            <x v="657"/>
            <x v="658"/>
            <x v="659"/>
            <x v="660"/>
            <x v="661"/>
            <x v="662"/>
            <x v="663"/>
            <x v="664"/>
            <x v="665"/>
            <x v="666"/>
            <x v="667"/>
          </reference>
        </references>
      </pivotArea>
    </format>
    <format dxfId="1753">
      <pivotArea dataOnly="0" labelOnly="1" grandRow="1" outline="0" fieldPosition="0"/>
    </format>
    <format dxfId="1752">
      <pivotArea dataOnly="0" labelOnly="1" fieldPosition="0">
        <references count="2">
          <reference field="1" count="1" selected="0">
            <x v="0"/>
          </reference>
          <reference field="2" count="1">
            <x v="1"/>
          </reference>
        </references>
      </pivotArea>
    </format>
    <format dxfId="1751">
      <pivotArea dataOnly="0" labelOnly="1" fieldPosition="0">
        <references count="2">
          <reference field="1" count="1" selected="0">
            <x v="1"/>
          </reference>
          <reference field="2" count="1">
            <x v="34"/>
          </reference>
        </references>
      </pivotArea>
    </format>
    <format dxfId="1750">
      <pivotArea dataOnly="0" labelOnly="1" fieldPosition="0">
        <references count="2">
          <reference field="1" count="1" selected="0">
            <x v="2"/>
          </reference>
          <reference field="2" count="1">
            <x v="52"/>
          </reference>
        </references>
      </pivotArea>
    </format>
    <format dxfId="1749">
      <pivotArea dataOnly="0" labelOnly="1" fieldPosition="0">
        <references count="2">
          <reference field="1" count="1" selected="0">
            <x v="3"/>
          </reference>
          <reference field="2" count="1">
            <x v="1"/>
          </reference>
        </references>
      </pivotArea>
    </format>
    <format dxfId="1748">
      <pivotArea dataOnly="0" labelOnly="1" fieldPosition="0">
        <references count="2">
          <reference field="1" count="1" selected="0">
            <x v="4"/>
          </reference>
          <reference field="2" count="1">
            <x v="53"/>
          </reference>
        </references>
      </pivotArea>
    </format>
    <format dxfId="1747">
      <pivotArea dataOnly="0" labelOnly="1" fieldPosition="0">
        <references count="2">
          <reference field="1" count="1" selected="0">
            <x v="5"/>
          </reference>
          <reference field="2" count="1">
            <x v="23"/>
          </reference>
        </references>
      </pivotArea>
    </format>
    <format dxfId="1746">
      <pivotArea dataOnly="0" labelOnly="1" fieldPosition="0">
        <references count="2">
          <reference field="1" count="1" selected="0">
            <x v="6"/>
          </reference>
          <reference field="2" count="1">
            <x v="36"/>
          </reference>
        </references>
      </pivotArea>
    </format>
    <format dxfId="1745">
      <pivotArea dataOnly="0" labelOnly="1" fieldPosition="0">
        <references count="2">
          <reference field="1" count="1" selected="0">
            <x v="7"/>
          </reference>
          <reference field="2" count="1">
            <x v="34"/>
          </reference>
        </references>
      </pivotArea>
    </format>
    <format dxfId="1744">
      <pivotArea dataOnly="0" labelOnly="1" fieldPosition="0">
        <references count="2">
          <reference field="1" count="1" selected="0">
            <x v="8"/>
          </reference>
          <reference field="2" count="2">
            <x v="55"/>
            <x v="66"/>
          </reference>
        </references>
      </pivotArea>
    </format>
    <format dxfId="1743">
      <pivotArea dataOnly="0" labelOnly="1" fieldPosition="0">
        <references count="2">
          <reference field="1" count="1" selected="0">
            <x v="9"/>
          </reference>
          <reference field="2" count="1">
            <x v="53"/>
          </reference>
        </references>
      </pivotArea>
    </format>
    <format dxfId="1742">
      <pivotArea dataOnly="0" labelOnly="1" fieldPosition="0">
        <references count="2">
          <reference field="1" count="1" selected="0">
            <x v="10"/>
          </reference>
          <reference field="2" count="1">
            <x v="83"/>
          </reference>
        </references>
      </pivotArea>
    </format>
    <format dxfId="1741">
      <pivotArea dataOnly="0" labelOnly="1" fieldPosition="0">
        <references count="2">
          <reference field="1" count="1" selected="0">
            <x v="11"/>
          </reference>
          <reference field="2" count="1">
            <x v="0"/>
          </reference>
        </references>
      </pivotArea>
    </format>
    <format dxfId="1740">
      <pivotArea dataOnly="0" labelOnly="1" fieldPosition="0">
        <references count="2">
          <reference field="1" count="1" selected="0">
            <x v="12"/>
          </reference>
          <reference field="2" count="1">
            <x v="53"/>
          </reference>
        </references>
      </pivotArea>
    </format>
    <format dxfId="1739">
      <pivotArea dataOnly="0" labelOnly="1" fieldPosition="0">
        <references count="2">
          <reference field="1" count="1" selected="0">
            <x v="13"/>
          </reference>
          <reference field="2" count="1">
            <x v="1"/>
          </reference>
        </references>
      </pivotArea>
    </format>
    <format dxfId="1738">
      <pivotArea dataOnly="0" labelOnly="1" fieldPosition="0">
        <references count="2">
          <reference field="1" count="1" selected="0">
            <x v="14"/>
          </reference>
          <reference field="2" count="1">
            <x v="66"/>
          </reference>
        </references>
      </pivotArea>
    </format>
    <format dxfId="1737">
      <pivotArea dataOnly="0" labelOnly="1" fieldPosition="0">
        <references count="2">
          <reference field="1" count="1" selected="0">
            <x v="15"/>
          </reference>
          <reference field="2" count="1">
            <x v="71"/>
          </reference>
        </references>
      </pivotArea>
    </format>
    <format dxfId="1736">
      <pivotArea dataOnly="0" labelOnly="1" fieldPosition="0">
        <references count="2">
          <reference field="1" count="1" selected="0">
            <x v="16"/>
          </reference>
          <reference field="2" count="1">
            <x v="73"/>
          </reference>
        </references>
      </pivotArea>
    </format>
    <format dxfId="1735">
      <pivotArea dataOnly="0" labelOnly="1" fieldPosition="0">
        <references count="2">
          <reference field="1" count="1" selected="0">
            <x v="17"/>
          </reference>
          <reference field="2" count="1">
            <x v="52"/>
          </reference>
        </references>
      </pivotArea>
    </format>
    <format dxfId="1734">
      <pivotArea dataOnly="0" labelOnly="1" fieldPosition="0">
        <references count="2">
          <reference field="1" count="1" selected="0">
            <x v="18"/>
          </reference>
          <reference field="2" count="1">
            <x v="34"/>
          </reference>
        </references>
      </pivotArea>
    </format>
    <format dxfId="1733">
      <pivotArea dataOnly="0" labelOnly="1" fieldPosition="0">
        <references count="2">
          <reference field="1" count="1" selected="0">
            <x v="19"/>
          </reference>
          <reference field="2" count="1">
            <x v="52"/>
          </reference>
        </references>
      </pivotArea>
    </format>
    <format dxfId="1732">
      <pivotArea dataOnly="0" labelOnly="1" fieldPosition="0">
        <references count="2">
          <reference field="1" count="1" selected="0">
            <x v="20"/>
          </reference>
          <reference field="2" count="1">
            <x v="1"/>
          </reference>
        </references>
      </pivotArea>
    </format>
    <format dxfId="1731">
      <pivotArea dataOnly="0" labelOnly="1" fieldPosition="0">
        <references count="2">
          <reference field="1" count="1" selected="0">
            <x v="21"/>
          </reference>
          <reference field="2" count="1">
            <x v="39"/>
          </reference>
        </references>
      </pivotArea>
    </format>
    <format dxfId="1730">
      <pivotArea dataOnly="0" labelOnly="1" fieldPosition="0">
        <references count="2">
          <reference field="1" count="1" selected="0">
            <x v="22"/>
          </reference>
          <reference field="2" count="1">
            <x v="1"/>
          </reference>
        </references>
      </pivotArea>
    </format>
    <format dxfId="1729">
      <pivotArea dataOnly="0" labelOnly="1" fieldPosition="0">
        <references count="2">
          <reference field="1" count="1" selected="0">
            <x v="23"/>
          </reference>
          <reference field="2" count="1">
            <x v="53"/>
          </reference>
        </references>
      </pivotArea>
    </format>
    <format dxfId="1728">
      <pivotArea dataOnly="0" labelOnly="1" fieldPosition="0">
        <references count="2">
          <reference field="1" count="1" selected="0">
            <x v="24"/>
          </reference>
          <reference field="2" count="1">
            <x v="53"/>
          </reference>
        </references>
      </pivotArea>
    </format>
    <format dxfId="1727">
      <pivotArea dataOnly="0" labelOnly="1" fieldPosition="0">
        <references count="2">
          <reference field="1" count="1" selected="0">
            <x v="25"/>
          </reference>
          <reference field="2" count="1">
            <x v="53"/>
          </reference>
        </references>
      </pivotArea>
    </format>
    <format dxfId="1726">
      <pivotArea dataOnly="0" labelOnly="1" fieldPosition="0">
        <references count="2">
          <reference field="1" count="1" selected="0">
            <x v="26"/>
          </reference>
          <reference field="2" count="1">
            <x v="52"/>
          </reference>
        </references>
      </pivotArea>
    </format>
    <format dxfId="1725">
      <pivotArea dataOnly="0" labelOnly="1" fieldPosition="0">
        <references count="2">
          <reference field="1" count="1" selected="0">
            <x v="27"/>
          </reference>
          <reference field="2" count="1">
            <x v="52"/>
          </reference>
        </references>
      </pivotArea>
    </format>
    <format dxfId="1724">
      <pivotArea dataOnly="0" labelOnly="1" fieldPosition="0">
        <references count="2">
          <reference field="1" count="1" selected="0">
            <x v="28"/>
          </reference>
          <reference field="2" count="1">
            <x v="1"/>
          </reference>
        </references>
      </pivotArea>
    </format>
    <format dxfId="1723">
      <pivotArea dataOnly="0" labelOnly="1" fieldPosition="0">
        <references count="2">
          <reference field="1" count="1" selected="0">
            <x v="29"/>
          </reference>
          <reference field="2" count="1">
            <x v="52"/>
          </reference>
        </references>
      </pivotArea>
    </format>
    <format dxfId="1722">
      <pivotArea dataOnly="0" labelOnly="1" fieldPosition="0">
        <references count="2">
          <reference field="1" count="1" selected="0">
            <x v="30"/>
          </reference>
          <reference field="2" count="1">
            <x v="23"/>
          </reference>
        </references>
      </pivotArea>
    </format>
    <format dxfId="1721">
      <pivotArea dataOnly="0" labelOnly="1" fieldPosition="0">
        <references count="2">
          <reference field="1" count="1" selected="0">
            <x v="31"/>
          </reference>
          <reference field="2" count="1">
            <x v="53"/>
          </reference>
        </references>
      </pivotArea>
    </format>
    <format dxfId="1720">
      <pivotArea dataOnly="0" labelOnly="1" fieldPosition="0">
        <references count="2">
          <reference field="1" count="1" selected="0">
            <x v="32"/>
          </reference>
          <reference field="2" count="1">
            <x v="46"/>
          </reference>
        </references>
      </pivotArea>
    </format>
    <format dxfId="1719">
      <pivotArea dataOnly="0" labelOnly="1" fieldPosition="0">
        <references count="2">
          <reference field="1" count="1" selected="0">
            <x v="33"/>
          </reference>
          <reference field="2" count="1">
            <x v="96"/>
          </reference>
        </references>
      </pivotArea>
    </format>
    <format dxfId="1718">
      <pivotArea dataOnly="0" labelOnly="1" fieldPosition="0">
        <references count="2">
          <reference field="1" count="1" selected="0">
            <x v="34"/>
          </reference>
          <reference field="2" count="1">
            <x v="56"/>
          </reference>
        </references>
      </pivotArea>
    </format>
    <format dxfId="1717">
      <pivotArea dataOnly="0" labelOnly="1" fieldPosition="0">
        <references count="2">
          <reference field="1" count="1" selected="0">
            <x v="35"/>
          </reference>
          <reference field="2" count="1">
            <x v="23"/>
          </reference>
        </references>
      </pivotArea>
    </format>
    <format dxfId="1716">
      <pivotArea dataOnly="0" labelOnly="1" fieldPosition="0">
        <references count="2">
          <reference field="1" count="1" selected="0">
            <x v="36"/>
          </reference>
          <reference field="2" count="1">
            <x v="52"/>
          </reference>
        </references>
      </pivotArea>
    </format>
    <format dxfId="1715">
      <pivotArea dataOnly="0" labelOnly="1" fieldPosition="0">
        <references count="2">
          <reference field="1" count="1" selected="0">
            <x v="37"/>
          </reference>
          <reference field="2" count="1">
            <x v="52"/>
          </reference>
        </references>
      </pivotArea>
    </format>
    <format dxfId="1714">
      <pivotArea dataOnly="0" labelOnly="1" fieldPosition="0">
        <references count="2">
          <reference field="1" count="1" selected="0">
            <x v="38"/>
          </reference>
          <reference field="2" count="1">
            <x v="53"/>
          </reference>
        </references>
      </pivotArea>
    </format>
    <format dxfId="1713">
      <pivotArea dataOnly="0" labelOnly="1" fieldPosition="0">
        <references count="2">
          <reference field="1" count="1" selected="0">
            <x v="39"/>
          </reference>
          <reference field="2" count="1">
            <x v="1"/>
          </reference>
        </references>
      </pivotArea>
    </format>
    <format dxfId="1712">
      <pivotArea dataOnly="0" labelOnly="1" fieldPosition="0">
        <references count="2">
          <reference field="1" count="1" selected="0">
            <x v="40"/>
          </reference>
          <reference field="2" count="1">
            <x v="58"/>
          </reference>
        </references>
      </pivotArea>
    </format>
    <format dxfId="1711">
      <pivotArea dataOnly="0" labelOnly="1" fieldPosition="0">
        <references count="2">
          <reference field="1" count="1" selected="0">
            <x v="41"/>
          </reference>
          <reference field="2" count="4">
            <x v="8"/>
            <x v="38"/>
            <x v="53"/>
            <x v="65"/>
          </reference>
        </references>
      </pivotArea>
    </format>
    <format dxfId="1710">
      <pivotArea dataOnly="0" labelOnly="1" fieldPosition="0">
        <references count="2">
          <reference field="1" count="1" selected="0">
            <x v="42"/>
          </reference>
          <reference field="2" count="1">
            <x v="34"/>
          </reference>
        </references>
      </pivotArea>
    </format>
    <format dxfId="1709">
      <pivotArea dataOnly="0" labelOnly="1" fieldPosition="0">
        <references count="2">
          <reference field="1" count="1" selected="0">
            <x v="43"/>
          </reference>
          <reference field="2" count="1">
            <x v="34"/>
          </reference>
        </references>
      </pivotArea>
    </format>
    <format dxfId="1708">
      <pivotArea dataOnly="0" labelOnly="1" fieldPosition="0">
        <references count="2">
          <reference field="1" count="1" selected="0">
            <x v="44"/>
          </reference>
          <reference field="2" count="1">
            <x v="46"/>
          </reference>
        </references>
      </pivotArea>
    </format>
    <format dxfId="1707">
      <pivotArea dataOnly="0" labelOnly="1" fieldPosition="0">
        <references count="2">
          <reference field="1" count="1" selected="0">
            <x v="45"/>
          </reference>
          <reference field="2" count="1">
            <x v="34"/>
          </reference>
        </references>
      </pivotArea>
    </format>
    <format dxfId="1706">
      <pivotArea dataOnly="0" labelOnly="1" fieldPosition="0">
        <references count="2">
          <reference field="1" count="1" selected="0">
            <x v="46"/>
          </reference>
          <reference field="2" count="1">
            <x v="96"/>
          </reference>
        </references>
      </pivotArea>
    </format>
    <format dxfId="1705">
      <pivotArea dataOnly="0" labelOnly="1" fieldPosition="0">
        <references count="2">
          <reference field="1" count="1" selected="0">
            <x v="47"/>
          </reference>
          <reference field="2" count="1">
            <x v="91"/>
          </reference>
        </references>
      </pivotArea>
    </format>
    <format dxfId="1704">
      <pivotArea dataOnly="0" labelOnly="1" fieldPosition="0">
        <references count="2">
          <reference field="1" count="1" selected="0">
            <x v="48"/>
          </reference>
          <reference field="2" count="1">
            <x v="52"/>
          </reference>
        </references>
      </pivotArea>
    </format>
    <format dxfId="1703">
      <pivotArea dataOnly="0" labelOnly="1" fieldPosition="0">
        <references count="2">
          <reference field="1" count="1" selected="0">
            <x v="49"/>
          </reference>
          <reference field="2" count="1">
            <x v="18"/>
          </reference>
        </references>
      </pivotArea>
    </format>
    <format dxfId="1702">
      <pivotArea dataOnly="0" labelOnly="1" fieldPosition="0">
        <references count="2">
          <reference field="1" count="1" selected="0">
            <x v="50"/>
          </reference>
          <reference field="2" count="1">
            <x v="1"/>
          </reference>
        </references>
      </pivotArea>
    </format>
    <format dxfId="1701">
      <pivotArea dataOnly="0" labelOnly="1" fieldPosition="0">
        <references count="2">
          <reference field="1" count="1" selected="0">
            <x v="51"/>
          </reference>
          <reference field="2" count="1">
            <x v="52"/>
          </reference>
        </references>
      </pivotArea>
    </format>
    <format dxfId="1700">
      <pivotArea dataOnly="0" labelOnly="1" fieldPosition="0">
        <references count="2">
          <reference field="1" count="1" selected="0">
            <x v="52"/>
          </reference>
          <reference field="2" count="1">
            <x v="52"/>
          </reference>
        </references>
      </pivotArea>
    </format>
    <format dxfId="1699">
      <pivotArea dataOnly="0" labelOnly="1" fieldPosition="0">
        <references count="2">
          <reference field="1" count="1" selected="0">
            <x v="53"/>
          </reference>
          <reference field="2" count="1">
            <x v="100"/>
          </reference>
        </references>
      </pivotArea>
    </format>
    <format dxfId="1698">
      <pivotArea dataOnly="0" labelOnly="1" fieldPosition="0">
        <references count="2">
          <reference field="1" count="1" selected="0">
            <x v="54"/>
          </reference>
          <reference field="2" count="1">
            <x v="53"/>
          </reference>
        </references>
      </pivotArea>
    </format>
    <format dxfId="1697">
      <pivotArea dataOnly="0" labelOnly="1" fieldPosition="0">
        <references count="2">
          <reference field="1" count="1" selected="0">
            <x v="55"/>
          </reference>
          <reference field="2" count="1">
            <x v="53"/>
          </reference>
        </references>
      </pivotArea>
    </format>
    <format dxfId="1696">
      <pivotArea dataOnly="0" labelOnly="1" fieldPosition="0">
        <references count="2">
          <reference field="1" count="1" selected="0">
            <x v="56"/>
          </reference>
          <reference field="2" count="1">
            <x v="51"/>
          </reference>
        </references>
      </pivotArea>
    </format>
    <format dxfId="1695">
      <pivotArea dataOnly="0" labelOnly="1" fieldPosition="0">
        <references count="2">
          <reference field="1" count="1" selected="0">
            <x v="57"/>
          </reference>
          <reference field="2" count="1">
            <x v="52"/>
          </reference>
        </references>
      </pivotArea>
    </format>
    <format dxfId="1694">
      <pivotArea dataOnly="0" labelOnly="1" fieldPosition="0">
        <references count="2">
          <reference field="1" count="1" selected="0">
            <x v="58"/>
          </reference>
          <reference field="2" count="1">
            <x v="47"/>
          </reference>
        </references>
      </pivotArea>
    </format>
    <format dxfId="1693">
      <pivotArea dataOnly="0" labelOnly="1" fieldPosition="0">
        <references count="2">
          <reference field="1" count="1" selected="0">
            <x v="59"/>
          </reference>
          <reference field="2" count="1">
            <x v="53"/>
          </reference>
        </references>
      </pivotArea>
    </format>
    <format dxfId="1692">
      <pivotArea dataOnly="0" labelOnly="1" fieldPosition="0">
        <references count="2">
          <reference field="1" count="1" selected="0">
            <x v="60"/>
          </reference>
          <reference field="2" count="1">
            <x v="1"/>
          </reference>
        </references>
      </pivotArea>
    </format>
    <format dxfId="1691">
      <pivotArea dataOnly="0" labelOnly="1" fieldPosition="0">
        <references count="2">
          <reference field="1" count="1" selected="0">
            <x v="61"/>
          </reference>
          <reference field="2" count="1">
            <x v="8"/>
          </reference>
        </references>
      </pivotArea>
    </format>
    <format dxfId="1690">
      <pivotArea dataOnly="0" labelOnly="1" fieldPosition="0">
        <references count="2">
          <reference field="1" count="1" selected="0">
            <x v="62"/>
          </reference>
          <reference field="2" count="1">
            <x v="83"/>
          </reference>
        </references>
      </pivotArea>
    </format>
    <format dxfId="1689">
      <pivotArea dataOnly="0" labelOnly="1" fieldPosition="0">
        <references count="2">
          <reference field="1" count="1" selected="0">
            <x v="63"/>
          </reference>
          <reference field="2" count="1">
            <x v="34"/>
          </reference>
        </references>
      </pivotArea>
    </format>
    <format dxfId="1688">
      <pivotArea dataOnly="0" labelOnly="1" fieldPosition="0">
        <references count="2">
          <reference field="1" count="1" selected="0">
            <x v="64"/>
          </reference>
          <reference field="2" count="1">
            <x v="29"/>
          </reference>
        </references>
      </pivotArea>
    </format>
    <format dxfId="1687">
      <pivotArea dataOnly="0" labelOnly="1" fieldPosition="0">
        <references count="2">
          <reference field="1" count="1" selected="0">
            <x v="65"/>
          </reference>
          <reference field="2" count="1">
            <x v="89"/>
          </reference>
        </references>
      </pivotArea>
    </format>
    <format dxfId="1686">
      <pivotArea dataOnly="0" labelOnly="1" fieldPosition="0">
        <references count="2">
          <reference field="1" count="1" selected="0">
            <x v="66"/>
          </reference>
          <reference field="2" count="1">
            <x v="99"/>
          </reference>
        </references>
      </pivotArea>
    </format>
    <format dxfId="1685">
      <pivotArea dataOnly="0" labelOnly="1" fieldPosition="0">
        <references count="2">
          <reference field="1" count="1" selected="0">
            <x v="67"/>
          </reference>
          <reference field="2" count="1">
            <x v="52"/>
          </reference>
        </references>
      </pivotArea>
    </format>
    <format dxfId="1684">
      <pivotArea dataOnly="0" labelOnly="1" fieldPosition="0">
        <references count="2">
          <reference field="1" count="1" selected="0">
            <x v="68"/>
          </reference>
          <reference field="2" count="2">
            <x v="34"/>
            <x v="52"/>
          </reference>
        </references>
      </pivotArea>
    </format>
    <format dxfId="1683">
      <pivotArea dataOnly="0" labelOnly="1" fieldPosition="0">
        <references count="2">
          <reference field="1" count="1" selected="0">
            <x v="69"/>
          </reference>
          <reference field="2" count="1">
            <x v="45"/>
          </reference>
        </references>
      </pivotArea>
    </format>
    <format dxfId="1682">
      <pivotArea dataOnly="0" labelOnly="1" fieldPosition="0">
        <references count="2">
          <reference field="1" count="1" selected="0">
            <x v="70"/>
          </reference>
          <reference field="2" count="1">
            <x v="52"/>
          </reference>
        </references>
      </pivotArea>
    </format>
    <format dxfId="1681">
      <pivotArea dataOnly="0" labelOnly="1" fieldPosition="0">
        <references count="2">
          <reference field="1" count="1" selected="0">
            <x v="71"/>
          </reference>
          <reference field="2" count="1">
            <x v="52"/>
          </reference>
        </references>
      </pivotArea>
    </format>
    <format dxfId="1680">
      <pivotArea dataOnly="0" labelOnly="1" fieldPosition="0">
        <references count="2">
          <reference field="1" count="1" selected="0">
            <x v="72"/>
          </reference>
          <reference field="2" count="1">
            <x v="34"/>
          </reference>
        </references>
      </pivotArea>
    </format>
    <format dxfId="1679">
      <pivotArea dataOnly="0" labelOnly="1" fieldPosition="0">
        <references count="2">
          <reference field="1" count="1" selected="0">
            <x v="73"/>
          </reference>
          <reference field="2" count="1">
            <x v="106"/>
          </reference>
        </references>
      </pivotArea>
    </format>
    <format dxfId="1678">
      <pivotArea dataOnly="0" labelOnly="1" fieldPosition="0">
        <references count="2">
          <reference field="1" count="1" selected="0">
            <x v="74"/>
          </reference>
          <reference field="2" count="1">
            <x v="52"/>
          </reference>
        </references>
      </pivotArea>
    </format>
    <format dxfId="1677">
      <pivotArea dataOnly="0" labelOnly="1" fieldPosition="0">
        <references count="2">
          <reference field="1" count="1" selected="0">
            <x v="75"/>
          </reference>
          <reference field="2" count="3">
            <x v="8"/>
            <x v="23"/>
            <x v="52"/>
          </reference>
        </references>
      </pivotArea>
    </format>
    <format dxfId="1676">
      <pivotArea dataOnly="0" labelOnly="1" fieldPosition="0">
        <references count="2">
          <reference field="1" count="1" selected="0">
            <x v="76"/>
          </reference>
          <reference field="2" count="1">
            <x v="23"/>
          </reference>
        </references>
      </pivotArea>
    </format>
    <format dxfId="1675">
      <pivotArea dataOnly="0" labelOnly="1" fieldPosition="0">
        <references count="2">
          <reference field="1" count="1" selected="0">
            <x v="77"/>
          </reference>
          <reference field="2" count="1">
            <x v="52"/>
          </reference>
        </references>
      </pivotArea>
    </format>
    <format dxfId="1674">
      <pivotArea dataOnly="0" labelOnly="1" fieldPosition="0">
        <references count="2">
          <reference field="1" count="1" selected="0">
            <x v="78"/>
          </reference>
          <reference field="2" count="1">
            <x v="53"/>
          </reference>
        </references>
      </pivotArea>
    </format>
    <format dxfId="1673">
      <pivotArea dataOnly="0" labelOnly="1" fieldPosition="0">
        <references count="2">
          <reference field="1" count="1" selected="0">
            <x v="79"/>
          </reference>
          <reference field="2" count="1">
            <x v="23"/>
          </reference>
        </references>
      </pivotArea>
    </format>
    <format dxfId="1672">
      <pivotArea dataOnly="0" labelOnly="1" fieldPosition="0">
        <references count="2">
          <reference field="1" count="1" selected="0">
            <x v="80"/>
          </reference>
          <reference field="2" count="1">
            <x v="1"/>
          </reference>
        </references>
      </pivotArea>
    </format>
    <format dxfId="1671">
      <pivotArea dataOnly="0" labelOnly="1" fieldPosition="0">
        <references count="2">
          <reference field="1" count="1" selected="0">
            <x v="81"/>
          </reference>
          <reference field="2" count="1">
            <x v="101"/>
          </reference>
        </references>
      </pivotArea>
    </format>
    <format dxfId="1670">
      <pivotArea dataOnly="0" labelOnly="1" fieldPosition="0">
        <references count="2">
          <reference field="1" count="1" selected="0">
            <x v="82"/>
          </reference>
          <reference field="2" count="1">
            <x v="1"/>
          </reference>
        </references>
      </pivotArea>
    </format>
    <format dxfId="1669">
      <pivotArea dataOnly="0" labelOnly="1" fieldPosition="0">
        <references count="2">
          <reference field="1" count="1" selected="0">
            <x v="83"/>
          </reference>
          <reference field="2" count="1">
            <x v="23"/>
          </reference>
        </references>
      </pivotArea>
    </format>
    <format dxfId="1668">
      <pivotArea dataOnly="0" labelOnly="1" fieldPosition="0">
        <references count="2">
          <reference field="1" count="1" selected="0">
            <x v="84"/>
          </reference>
          <reference field="2" count="1">
            <x v="91"/>
          </reference>
        </references>
      </pivotArea>
    </format>
    <format dxfId="1667">
      <pivotArea dataOnly="0" labelOnly="1" fieldPosition="0">
        <references count="2">
          <reference field="1" count="1" selected="0">
            <x v="85"/>
          </reference>
          <reference field="2" count="1">
            <x v="73"/>
          </reference>
        </references>
      </pivotArea>
    </format>
    <format dxfId="1666">
      <pivotArea dataOnly="0" labelOnly="1" fieldPosition="0">
        <references count="2">
          <reference field="1" count="1" selected="0">
            <x v="86"/>
          </reference>
          <reference field="2" count="1">
            <x v="52"/>
          </reference>
        </references>
      </pivotArea>
    </format>
    <format dxfId="1665">
      <pivotArea dataOnly="0" labelOnly="1" fieldPosition="0">
        <references count="2">
          <reference field="1" count="1" selected="0">
            <x v="87"/>
          </reference>
          <reference field="2" count="1">
            <x v="1"/>
          </reference>
        </references>
      </pivotArea>
    </format>
    <format dxfId="1664">
      <pivotArea dataOnly="0" labelOnly="1" fieldPosition="0">
        <references count="2">
          <reference field="1" count="1" selected="0">
            <x v="88"/>
          </reference>
          <reference field="2" count="2">
            <x v="18"/>
            <x v="106"/>
          </reference>
        </references>
      </pivotArea>
    </format>
    <format dxfId="1663">
      <pivotArea dataOnly="0" labelOnly="1" fieldPosition="0">
        <references count="2">
          <reference field="1" count="1" selected="0">
            <x v="89"/>
          </reference>
          <reference field="2" count="2">
            <x v="29"/>
            <x v="52"/>
          </reference>
        </references>
      </pivotArea>
    </format>
    <format dxfId="1662">
      <pivotArea dataOnly="0" labelOnly="1" fieldPosition="0">
        <references count="2">
          <reference field="1" count="1" selected="0">
            <x v="90"/>
          </reference>
          <reference field="2" count="1">
            <x v="63"/>
          </reference>
        </references>
      </pivotArea>
    </format>
    <format dxfId="1661">
      <pivotArea dataOnly="0" labelOnly="1" fieldPosition="0">
        <references count="2">
          <reference field="1" count="1" selected="0">
            <x v="91"/>
          </reference>
          <reference field="2" count="1">
            <x v="34"/>
          </reference>
        </references>
      </pivotArea>
    </format>
    <format dxfId="1660">
      <pivotArea dataOnly="0" labelOnly="1" fieldPosition="0">
        <references count="2">
          <reference field="1" count="1" selected="0">
            <x v="92"/>
          </reference>
          <reference field="2" count="1">
            <x v="52"/>
          </reference>
        </references>
      </pivotArea>
    </format>
    <format dxfId="1659">
      <pivotArea dataOnly="0" labelOnly="1" fieldPosition="0">
        <references count="2">
          <reference field="1" count="1" selected="0">
            <x v="93"/>
          </reference>
          <reference field="2" count="1">
            <x v="1"/>
          </reference>
        </references>
      </pivotArea>
    </format>
    <format dxfId="1658">
      <pivotArea dataOnly="0" labelOnly="1" fieldPosition="0">
        <references count="2">
          <reference field="1" count="1" selected="0">
            <x v="94"/>
          </reference>
          <reference field="2" count="1">
            <x v="52"/>
          </reference>
        </references>
      </pivotArea>
    </format>
    <format dxfId="1657">
      <pivotArea dataOnly="0" labelOnly="1" fieldPosition="0">
        <references count="2">
          <reference field="1" count="1" selected="0">
            <x v="95"/>
          </reference>
          <reference field="2" count="1">
            <x v="73"/>
          </reference>
        </references>
      </pivotArea>
    </format>
    <format dxfId="1656">
      <pivotArea dataOnly="0" labelOnly="1" fieldPosition="0">
        <references count="2">
          <reference field="1" count="1" selected="0">
            <x v="96"/>
          </reference>
          <reference field="2" count="1">
            <x v="40"/>
          </reference>
        </references>
      </pivotArea>
    </format>
    <format dxfId="1655">
      <pivotArea dataOnly="0" labelOnly="1" fieldPosition="0">
        <references count="2">
          <reference field="1" count="1" selected="0">
            <x v="97"/>
          </reference>
          <reference field="2" count="1">
            <x v="52"/>
          </reference>
        </references>
      </pivotArea>
    </format>
    <format dxfId="1654">
      <pivotArea dataOnly="0" labelOnly="1" fieldPosition="0">
        <references count="2">
          <reference field="1" count="1" selected="0">
            <x v="98"/>
          </reference>
          <reference field="2" count="1">
            <x v="103"/>
          </reference>
        </references>
      </pivotArea>
    </format>
    <format dxfId="1653">
      <pivotArea dataOnly="0" labelOnly="1" fieldPosition="0">
        <references count="2">
          <reference field="1" count="1" selected="0">
            <x v="99"/>
          </reference>
          <reference field="2" count="1">
            <x v="53"/>
          </reference>
        </references>
      </pivotArea>
    </format>
    <format dxfId="1652">
      <pivotArea dataOnly="0" labelOnly="1" fieldPosition="0">
        <references count="2">
          <reference field="1" count="1" selected="0">
            <x v="100"/>
          </reference>
          <reference field="2" count="1">
            <x v="58"/>
          </reference>
        </references>
      </pivotArea>
    </format>
    <format dxfId="1651">
      <pivotArea dataOnly="0" labelOnly="1" fieldPosition="0">
        <references count="2">
          <reference field="1" count="1" selected="0">
            <x v="101"/>
          </reference>
          <reference field="2" count="1">
            <x v="34"/>
          </reference>
        </references>
      </pivotArea>
    </format>
    <format dxfId="1650">
      <pivotArea dataOnly="0" labelOnly="1" fieldPosition="0">
        <references count="2">
          <reference field="1" count="1" selected="0">
            <x v="102"/>
          </reference>
          <reference field="2" count="1">
            <x v="51"/>
          </reference>
        </references>
      </pivotArea>
    </format>
    <format dxfId="1649">
      <pivotArea dataOnly="0" labelOnly="1" fieldPosition="0">
        <references count="2">
          <reference field="1" count="1" selected="0">
            <x v="103"/>
          </reference>
          <reference field="2" count="1">
            <x v="56"/>
          </reference>
        </references>
      </pivotArea>
    </format>
    <format dxfId="1648">
      <pivotArea dataOnly="0" labelOnly="1" fieldPosition="0">
        <references count="2">
          <reference field="1" count="1" selected="0">
            <x v="104"/>
          </reference>
          <reference field="2" count="1">
            <x v="23"/>
          </reference>
        </references>
      </pivotArea>
    </format>
    <format dxfId="1647">
      <pivotArea dataOnly="0" labelOnly="1" fieldPosition="0">
        <references count="2">
          <reference field="1" count="1" selected="0">
            <x v="105"/>
          </reference>
          <reference field="2" count="1">
            <x v="30"/>
          </reference>
        </references>
      </pivotArea>
    </format>
    <format dxfId="1646">
      <pivotArea dataOnly="0" labelOnly="1" fieldPosition="0">
        <references count="2">
          <reference field="1" count="1" selected="0">
            <x v="106"/>
          </reference>
          <reference field="2" count="1">
            <x v="1"/>
          </reference>
        </references>
      </pivotArea>
    </format>
    <format dxfId="1645">
      <pivotArea dataOnly="0" labelOnly="1" fieldPosition="0">
        <references count="2">
          <reference field="1" count="1" selected="0">
            <x v="107"/>
          </reference>
          <reference field="2" count="1">
            <x v="23"/>
          </reference>
        </references>
      </pivotArea>
    </format>
    <format dxfId="1644">
      <pivotArea dataOnly="0" labelOnly="1" fieldPosition="0">
        <references count="2">
          <reference field="1" count="1" selected="0">
            <x v="108"/>
          </reference>
          <reference field="2" count="1">
            <x v="29"/>
          </reference>
        </references>
      </pivotArea>
    </format>
    <format dxfId="1643">
      <pivotArea dataOnly="0" labelOnly="1" fieldPosition="0">
        <references count="2">
          <reference field="1" count="1" selected="0">
            <x v="109"/>
          </reference>
          <reference field="2" count="1">
            <x v="52"/>
          </reference>
        </references>
      </pivotArea>
    </format>
    <format dxfId="1642">
      <pivotArea dataOnly="0" labelOnly="1" fieldPosition="0">
        <references count="2">
          <reference field="1" count="1" selected="0">
            <x v="110"/>
          </reference>
          <reference field="2" count="1">
            <x v="59"/>
          </reference>
        </references>
      </pivotArea>
    </format>
    <format dxfId="1641">
      <pivotArea dataOnly="0" labelOnly="1" fieldPosition="0">
        <references count="2">
          <reference field="1" count="1" selected="0">
            <x v="111"/>
          </reference>
          <reference field="2" count="1">
            <x v="73"/>
          </reference>
        </references>
      </pivotArea>
    </format>
    <format dxfId="1640">
      <pivotArea dataOnly="0" labelOnly="1" fieldPosition="0">
        <references count="2">
          <reference field="1" count="1" selected="0">
            <x v="112"/>
          </reference>
          <reference field="2" count="1">
            <x v="4"/>
          </reference>
        </references>
      </pivotArea>
    </format>
    <format dxfId="1639">
      <pivotArea dataOnly="0" labelOnly="1" fieldPosition="0">
        <references count="2">
          <reference field="1" count="1" selected="0">
            <x v="113"/>
          </reference>
          <reference field="2" count="1">
            <x v="34"/>
          </reference>
        </references>
      </pivotArea>
    </format>
    <format dxfId="1638">
      <pivotArea dataOnly="0" labelOnly="1" fieldPosition="0">
        <references count="2">
          <reference field="1" count="1" selected="0">
            <x v="114"/>
          </reference>
          <reference field="2" count="1">
            <x v="52"/>
          </reference>
        </references>
      </pivotArea>
    </format>
    <format dxfId="1637">
      <pivotArea dataOnly="0" labelOnly="1" fieldPosition="0">
        <references count="2">
          <reference field="1" count="1" selected="0">
            <x v="115"/>
          </reference>
          <reference field="2" count="1">
            <x v="91"/>
          </reference>
        </references>
      </pivotArea>
    </format>
    <format dxfId="1636">
      <pivotArea dataOnly="0" labelOnly="1" fieldPosition="0">
        <references count="2">
          <reference field="1" count="1" selected="0">
            <x v="116"/>
          </reference>
          <reference field="2" count="1">
            <x v="23"/>
          </reference>
        </references>
      </pivotArea>
    </format>
    <format dxfId="1635">
      <pivotArea dataOnly="0" labelOnly="1" fieldPosition="0">
        <references count="2">
          <reference field="1" count="1" selected="0">
            <x v="117"/>
          </reference>
          <reference field="2" count="1">
            <x v="1"/>
          </reference>
        </references>
      </pivotArea>
    </format>
    <format dxfId="1634">
      <pivotArea dataOnly="0" labelOnly="1" fieldPosition="0">
        <references count="2">
          <reference field="1" count="1" selected="0">
            <x v="118"/>
          </reference>
          <reference field="2" count="1">
            <x v="23"/>
          </reference>
        </references>
      </pivotArea>
    </format>
    <format dxfId="1633">
      <pivotArea dataOnly="0" labelOnly="1" fieldPosition="0">
        <references count="2">
          <reference field="1" count="1" selected="0">
            <x v="119"/>
          </reference>
          <reference field="2" count="1">
            <x v="53"/>
          </reference>
        </references>
      </pivotArea>
    </format>
    <format dxfId="1632">
      <pivotArea dataOnly="0" labelOnly="1" fieldPosition="0">
        <references count="2">
          <reference field="1" count="1" selected="0">
            <x v="120"/>
          </reference>
          <reference field="2" count="1">
            <x v="76"/>
          </reference>
        </references>
      </pivotArea>
    </format>
    <format dxfId="1631">
      <pivotArea dataOnly="0" labelOnly="1" fieldPosition="0">
        <references count="2">
          <reference field="1" count="1" selected="0">
            <x v="121"/>
          </reference>
          <reference field="2" count="1">
            <x v="8"/>
          </reference>
        </references>
      </pivotArea>
    </format>
    <format dxfId="1630">
      <pivotArea dataOnly="0" labelOnly="1" fieldPosition="0">
        <references count="2">
          <reference field="1" count="1" selected="0">
            <x v="122"/>
          </reference>
          <reference field="2" count="1">
            <x v="52"/>
          </reference>
        </references>
      </pivotArea>
    </format>
    <format dxfId="1629">
      <pivotArea dataOnly="0" labelOnly="1" fieldPosition="0">
        <references count="2">
          <reference field="1" count="1" selected="0">
            <x v="123"/>
          </reference>
          <reference field="2" count="1">
            <x v="11"/>
          </reference>
        </references>
      </pivotArea>
    </format>
    <format dxfId="1628">
      <pivotArea dataOnly="0" labelOnly="1" fieldPosition="0">
        <references count="2">
          <reference field="1" count="1" selected="0">
            <x v="124"/>
          </reference>
          <reference field="2" count="1">
            <x v="89"/>
          </reference>
        </references>
      </pivotArea>
    </format>
    <format dxfId="1627">
      <pivotArea dataOnly="0" labelOnly="1" fieldPosition="0">
        <references count="2">
          <reference field="1" count="1" selected="0">
            <x v="125"/>
          </reference>
          <reference field="2" count="1">
            <x v="20"/>
          </reference>
        </references>
      </pivotArea>
    </format>
    <format dxfId="1626">
      <pivotArea dataOnly="0" labelOnly="1" fieldPosition="0">
        <references count="2">
          <reference field="1" count="1" selected="0">
            <x v="126"/>
          </reference>
          <reference field="2" count="3">
            <x v="23"/>
            <x v="27"/>
            <x v="52"/>
          </reference>
        </references>
      </pivotArea>
    </format>
    <format dxfId="1625">
      <pivotArea dataOnly="0" labelOnly="1" fieldPosition="0">
        <references count="2">
          <reference field="1" count="1" selected="0">
            <x v="127"/>
          </reference>
          <reference field="2" count="1">
            <x v="62"/>
          </reference>
        </references>
      </pivotArea>
    </format>
    <format dxfId="1624">
      <pivotArea dataOnly="0" labelOnly="1" fieldPosition="0">
        <references count="2">
          <reference field="1" count="1" selected="0">
            <x v="128"/>
          </reference>
          <reference field="2" count="1">
            <x v="52"/>
          </reference>
        </references>
      </pivotArea>
    </format>
    <format dxfId="1623">
      <pivotArea dataOnly="0" labelOnly="1" fieldPosition="0">
        <references count="2">
          <reference field="1" count="1" selected="0">
            <x v="129"/>
          </reference>
          <reference field="2" count="1">
            <x v="1"/>
          </reference>
        </references>
      </pivotArea>
    </format>
    <format dxfId="1622">
      <pivotArea dataOnly="0" labelOnly="1" fieldPosition="0">
        <references count="2">
          <reference field="1" count="1" selected="0">
            <x v="130"/>
          </reference>
          <reference field="2" count="1">
            <x v="61"/>
          </reference>
        </references>
      </pivotArea>
    </format>
    <format dxfId="1621">
      <pivotArea dataOnly="0" labelOnly="1" fieldPosition="0">
        <references count="2">
          <reference field="1" count="1" selected="0">
            <x v="131"/>
          </reference>
          <reference field="2" count="1">
            <x v="34"/>
          </reference>
        </references>
      </pivotArea>
    </format>
    <format dxfId="1620">
      <pivotArea dataOnly="0" labelOnly="1" fieldPosition="0">
        <references count="2">
          <reference field="1" count="1" selected="0">
            <x v="132"/>
          </reference>
          <reference field="2" count="1">
            <x v="44"/>
          </reference>
        </references>
      </pivotArea>
    </format>
    <format dxfId="1619">
      <pivotArea dataOnly="0" labelOnly="1" fieldPosition="0">
        <references count="2">
          <reference field="1" count="1" selected="0">
            <x v="133"/>
          </reference>
          <reference field="2" count="1">
            <x v="52"/>
          </reference>
        </references>
      </pivotArea>
    </format>
    <format dxfId="1618">
      <pivotArea dataOnly="0" labelOnly="1" fieldPosition="0">
        <references count="2">
          <reference field="1" count="1" selected="0">
            <x v="134"/>
          </reference>
          <reference field="2" count="1">
            <x v="53"/>
          </reference>
        </references>
      </pivotArea>
    </format>
    <format dxfId="1617">
      <pivotArea dataOnly="0" labelOnly="1" fieldPosition="0">
        <references count="2">
          <reference field="1" count="1" selected="0">
            <x v="135"/>
          </reference>
          <reference field="2" count="1">
            <x v="23"/>
          </reference>
        </references>
      </pivotArea>
    </format>
    <format dxfId="1616">
      <pivotArea dataOnly="0" labelOnly="1" fieldPosition="0">
        <references count="2">
          <reference field="1" count="1" selected="0">
            <x v="136"/>
          </reference>
          <reference field="2" count="1">
            <x v="84"/>
          </reference>
        </references>
      </pivotArea>
    </format>
    <format dxfId="1615">
      <pivotArea dataOnly="0" labelOnly="1" fieldPosition="0">
        <references count="2">
          <reference field="1" count="1" selected="0">
            <x v="137"/>
          </reference>
          <reference field="2" count="1">
            <x v="30"/>
          </reference>
        </references>
      </pivotArea>
    </format>
    <format dxfId="1614">
      <pivotArea dataOnly="0" labelOnly="1" fieldPosition="0">
        <references count="2">
          <reference field="1" count="1" selected="0">
            <x v="138"/>
          </reference>
          <reference field="2" count="1">
            <x v="53"/>
          </reference>
        </references>
      </pivotArea>
    </format>
    <format dxfId="1613">
      <pivotArea dataOnly="0" labelOnly="1" fieldPosition="0">
        <references count="2">
          <reference field="1" count="1" selected="0">
            <x v="139"/>
          </reference>
          <reference field="2" count="1">
            <x v="1"/>
          </reference>
        </references>
      </pivotArea>
    </format>
    <format dxfId="1612">
      <pivotArea dataOnly="0" labelOnly="1" fieldPosition="0">
        <references count="2">
          <reference field="1" count="1" selected="0">
            <x v="140"/>
          </reference>
          <reference field="2" count="1">
            <x v="100"/>
          </reference>
        </references>
      </pivotArea>
    </format>
    <format dxfId="1611">
      <pivotArea dataOnly="0" labelOnly="1" fieldPosition="0">
        <references count="2">
          <reference field="1" count="1" selected="0">
            <x v="141"/>
          </reference>
          <reference field="2" count="1">
            <x v="53"/>
          </reference>
        </references>
      </pivotArea>
    </format>
    <format dxfId="1610">
      <pivotArea dataOnly="0" labelOnly="1" fieldPosition="0">
        <references count="2">
          <reference field="1" count="1" selected="0">
            <x v="142"/>
          </reference>
          <reference field="2" count="1">
            <x v="52"/>
          </reference>
        </references>
      </pivotArea>
    </format>
    <format dxfId="1609">
      <pivotArea dataOnly="0" labelOnly="1" fieldPosition="0">
        <references count="2">
          <reference field="1" count="1" selected="0">
            <x v="143"/>
          </reference>
          <reference field="2" count="1">
            <x v="73"/>
          </reference>
        </references>
      </pivotArea>
    </format>
    <format dxfId="1608">
      <pivotArea dataOnly="0" labelOnly="1" fieldPosition="0">
        <references count="2">
          <reference field="1" count="1" selected="0">
            <x v="144"/>
          </reference>
          <reference field="2" count="1">
            <x v="52"/>
          </reference>
        </references>
      </pivotArea>
    </format>
    <format dxfId="1607">
      <pivotArea dataOnly="0" labelOnly="1" fieldPosition="0">
        <references count="2">
          <reference field="1" count="1" selected="0">
            <x v="145"/>
          </reference>
          <reference field="2" count="1">
            <x v="23"/>
          </reference>
        </references>
      </pivotArea>
    </format>
    <format dxfId="1606">
      <pivotArea dataOnly="0" labelOnly="1" fieldPosition="0">
        <references count="2">
          <reference field="1" count="1" selected="0">
            <x v="146"/>
          </reference>
          <reference field="2" count="1">
            <x v="73"/>
          </reference>
        </references>
      </pivotArea>
    </format>
    <format dxfId="1605">
      <pivotArea dataOnly="0" labelOnly="1" fieldPosition="0">
        <references count="2">
          <reference field="1" count="1" selected="0">
            <x v="147"/>
          </reference>
          <reference field="2" count="1">
            <x v="91"/>
          </reference>
        </references>
      </pivotArea>
    </format>
    <format dxfId="1604">
      <pivotArea dataOnly="0" labelOnly="1" fieldPosition="0">
        <references count="2">
          <reference field="1" count="1" selected="0">
            <x v="148"/>
          </reference>
          <reference field="2" count="1">
            <x v="52"/>
          </reference>
        </references>
      </pivotArea>
    </format>
    <format dxfId="1603">
      <pivotArea dataOnly="0" labelOnly="1" fieldPosition="0">
        <references count="2">
          <reference field="1" count="1" selected="0">
            <x v="149"/>
          </reference>
          <reference field="2" count="1">
            <x v="52"/>
          </reference>
        </references>
      </pivotArea>
    </format>
    <format dxfId="1602">
      <pivotArea dataOnly="0" labelOnly="1" fieldPosition="0">
        <references count="2">
          <reference field="1" count="1" selected="0">
            <x v="150"/>
          </reference>
          <reference field="2" count="1">
            <x v="44"/>
          </reference>
        </references>
      </pivotArea>
    </format>
    <format dxfId="1601">
      <pivotArea dataOnly="0" labelOnly="1" fieldPosition="0">
        <references count="2">
          <reference field="1" count="1" selected="0">
            <x v="151"/>
          </reference>
          <reference field="2" count="1">
            <x v="52"/>
          </reference>
        </references>
      </pivotArea>
    </format>
    <format dxfId="1600">
      <pivotArea dataOnly="0" labelOnly="1" fieldPosition="0">
        <references count="2">
          <reference field="1" count="1" selected="0">
            <x v="152"/>
          </reference>
          <reference field="2" count="1">
            <x v="52"/>
          </reference>
        </references>
      </pivotArea>
    </format>
    <format dxfId="1599">
      <pivotArea dataOnly="0" labelOnly="1" fieldPosition="0">
        <references count="2">
          <reference field="1" count="1" selected="0">
            <x v="153"/>
          </reference>
          <reference field="2" count="1">
            <x v="1"/>
          </reference>
        </references>
      </pivotArea>
    </format>
    <format dxfId="1598">
      <pivotArea dataOnly="0" labelOnly="1" fieldPosition="0">
        <references count="2">
          <reference field="1" count="1" selected="0">
            <x v="154"/>
          </reference>
          <reference field="2" count="1">
            <x v="6"/>
          </reference>
        </references>
      </pivotArea>
    </format>
    <format dxfId="1597">
      <pivotArea dataOnly="0" labelOnly="1" fieldPosition="0">
        <references count="2">
          <reference field="1" count="1" selected="0">
            <x v="155"/>
          </reference>
          <reference field="2" count="1">
            <x v="34"/>
          </reference>
        </references>
      </pivotArea>
    </format>
    <format dxfId="1596">
      <pivotArea dataOnly="0" labelOnly="1" fieldPosition="0">
        <references count="2">
          <reference field="1" count="1" selected="0">
            <x v="156"/>
          </reference>
          <reference field="2" count="1">
            <x v="52"/>
          </reference>
        </references>
      </pivotArea>
    </format>
    <format dxfId="1595">
      <pivotArea dataOnly="0" labelOnly="1" fieldPosition="0">
        <references count="2">
          <reference field="1" count="1" selected="0">
            <x v="157"/>
          </reference>
          <reference field="2" count="1">
            <x v="1"/>
          </reference>
        </references>
      </pivotArea>
    </format>
    <format dxfId="1594">
      <pivotArea dataOnly="0" labelOnly="1" fieldPosition="0">
        <references count="2">
          <reference field="1" count="1" selected="0">
            <x v="158"/>
          </reference>
          <reference field="2" count="1">
            <x v="106"/>
          </reference>
        </references>
      </pivotArea>
    </format>
    <format dxfId="1593">
      <pivotArea dataOnly="0" labelOnly="1" fieldPosition="0">
        <references count="2">
          <reference field="1" count="1" selected="0">
            <x v="159"/>
          </reference>
          <reference field="2" count="1">
            <x v="28"/>
          </reference>
        </references>
      </pivotArea>
    </format>
    <format dxfId="1592">
      <pivotArea dataOnly="0" labelOnly="1" fieldPosition="0">
        <references count="2">
          <reference field="1" count="1" selected="0">
            <x v="160"/>
          </reference>
          <reference field="2" count="1">
            <x v="53"/>
          </reference>
        </references>
      </pivotArea>
    </format>
    <format dxfId="1591">
      <pivotArea dataOnly="0" labelOnly="1" fieldPosition="0">
        <references count="2">
          <reference field="1" count="1" selected="0">
            <x v="161"/>
          </reference>
          <reference field="2" count="1">
            <x v="60"/>
          </reference>
        </references>
      </pivotArea>
    </format>
    <format dxfId="1590">
      <pivotArea dataOnly="0" labelOnly="1" fieldPosition="0">
        <references count="2">
          <reference field="1" count="1" selected="0">
            <x v="162"/>
          </reference>
          <reference field="2" count="1">
            <x v="1"/>
          </reference>
        </references>
      </pivotArea>
    </format>
    <format dxfId="1589">
      <pivotArea dataOnly="0" labelOnly="1" fieldPosition="0">
        <references count="2">
          <reference field="1" count="1" selected="0">
            <x v="163"/>
          </reference>
          <reference field="2" count="1">
            <x v="34"/>
          </reference>
        </references>
      </pivotArea>
    </format>
    <format dxfId="1588">
      <pivotArea dataOnly="0" labelOnly="1" fieldPosition="0">
        <references count="2">
          <reference field="1" count="1" selected="0">
            <x v="164"/>
          </reference>
          <reference field="2" count="1">
            <x v="106"/>
          </reference>
        </references>
      </pivotArea>
    </format>
    <format dxfId="1587">
      <pivotArea dataOnly="0" labelOnly="1" fieldPosition="0">
        <references count="2">
          <reference field="1" count="1" selected="0">
            <x v="165"/>
          </reference>
          <reference field="2" count="1">
            <x v="53"/>
          </reference>
        </references>
      </pivotArea>
    </format>
    <format dxfId="1586">
      <pivotArea dataOnly="0" labelOnly="1" fieldPosition="0">
        <references count="2">
          <reference field="1" count="1" selected="0">
            <x v="166"/>
          </reference>
          <reference field="2" count="1">
            <x v="32"/>
          </reference>
        </references>
      </pivotArea>
    </format>
    <format dxfId="1585">
      <pivotArea dataOnly="0" labelOnly="1" fieldPosition="0">
        <references count="2">
          <reference field="1" count="1" selected="0">
            <x v="167"/>
          </reference>
          <reference field="2" count="1">
            <x v="52"/>
          </reference>
        </references>
      </pivotArea>
    </format>
    <format dxfId="1584">
      <pivotArea dataOnly="0" labelOnly="1" fieldPosition="0">
        <references count="2">
          <reference field="1" count="1" selected="0">
            <x v="168"/>
          </reference>
          <reference field="2" count="1">
            <x v="72"/>
          </reference>
        </references>
      </pivotArea>
    </format>
    <format dxfId="1583">
      <pivotArea dataOnly="0" labelOnly="1" fieldPosition="0">
        <references count="2">
          <reference field="1" count="1" selected="0">
            <x v="169"/>
          </reference>
          <reference field="2" count="1">
            <x v="34"/>
          </reference>
        </references>
      </pivotArea>
    </format>
    <format dxfId="1582">
      <pivotArea dataOnly="0" labelOnly="1" fieldPosition="0">
        <references count="2">
          <reference field="1" count="1" selected="0">
            <x v="170"/>
          </reference>
          <reference field="2" count="1">
            <x v="34"/>
          </reference>
        </references>
      </pivotArea>
    </format>
    <format dxfId="1581">
      <pivotArea dataOnly="0" labelOnly="1" fieldPosition="0">
        <references count="2">
          <reference field="1" count="1" selected="0">
            <x v="171"/>
          </reference>
          <reference field="2" count="1">
            <x v="8"/>
          </reference>
        </references>
      </pivotArea>
    </format>
    <format dxfId="1580">
      <pivotArea dataOnly="0" labelOnly="1" fieldPosition="0">
        <references count="2">
          <reference field="1" count="1" selected="0">
            <x v="172"/>
          </reference>
          <reference field="2" count="1">
            <x v="23"/>
          </reference>
        </references>
      </pivotArea>
    </format>
    <format dxfId="1579">
      <pivotArea dataOnly="0" labelOnly="1" fieldPosition="0">
        <references count="2">
          <reference field="1" count="1" selected="0">
            <x v="173"/>
          </reference>
          <reference field="2" count="1">
            <x v="53"/>
          </reference>
        </references>
      </pivotArea>
    </format>
    <format dxfId="1578">
      <pivotArea dataOnly="0" labelOnly="1" fieldPosition="0">
        <references count="2">
          <reference field="1" count="1" selected="0">
            <x v="174"/>
          </reference>
          <reference field="2" count="2">
            <x v="1"/>
            <x v="52"/>
          </reference>
        </references>
      </pivotArea>
    </format>
    <format dxfId="1577">
      <pivotArea dataOnly="0" labelOnly="1" fieldPosition="0">
        <references count="2">
          <reference field="1" count="1" selected="0">
            <x v="175"/>
          </reference>
          <reference field="2" count="1">
            <x v="52"/>
          </reference>
        </references>
      </pivotArea>
    </format>
    <format dxfId="1576">
      <pivotArea dataOnly="0" labelOnly="1" fieldPosition="0">
        <references count="2">
          <reference field="1" count="1" selected="0">
            <x v="176"/>
          </reference>
          <reference field="2" count="1">
            <x v="52"/>
          </reference>
        </references>
      </pivotArea>
    </format>
    <format dxfId="1575">
      <pivotArea dataOnly="0" labelOnly="1" fieldPosition="0">
        <references count="2">
          <reference field="1" count="1" selected="0">
            <x v="177"/>
          </reference>
          <reference field="2" count="1">
            <x v="23"/>
          </reference>
        </references>
      </pivotArea>
    </format>
    <format dxfId="1574">
      <pivotArea dataOnly="0" labelOnly="1" fieldPosition="0">
        <references count="2">
          <reference field="1" count="1" selected="0">
            <x v="178"/>
          </reference>
          <reference field="2" count="1">
            <x v="29"/>
          </reference>
        </references>
      </pivotArea>
    </format>
    <format dxfId="1573">
      <pivotArea dataOnly="0" labelOnly="1" fieldPosition="0">
        <references count="2">
          <reference field="1" count="1" selected="0">
            <x v="179"/>
          </reference>
          <reference field="2" count="1">
            <x v="47"/>
          </reference>
        </references>
      </pivotArea>
    </format>
    <format dxfId="1572">
      <pivotArea dataOnly="0" labelOnly="1" fieldPosition="0">
        <references count="2">
          <reference field="1" count="1" selected="0">
            <x v="180"/>
          </reference>
          <reference field="2" count="1">
            <x v="1"/>
          </reference>
        </references>
      </pivotArea>
    </format>
    <format dxfId="1571">
      <pivotArea dataOnly="0" labelOnly="1" fieldPosition="0">
        <references count="2">
          <reference field="1" count="1" selected="0">
            <x v="181"/>
          </reference>
          <reference field="2" count="1">
            <x v="91"/>
          </reference>
        </references>
      </pivotArea>
    </format>
    <format dxfId="1570">
      <pivotArea dataOnly="0" labelOnly="1" fieldPosition="0">
        <references count="2">
          <reference field="1" count="1" selected="0">
            <x v="182"/>
          </reference>
          <reference field="2" count="1">
            <x v="41"/>
          </reference>
        </references>
      </pivotArea>
    </format>
    <format dxfId="1569">
      <pivotArea dataOnly="0" labelOnly="1" fieldPosition="0">
        <references count="2">
          <reference field="1" count="1" selected="0">
            <x v="183"/>
          </reference>
          <reference field="2" count="1">
            <x v="52"/>
          </reference>
        </references>
      </pivotArea>
    </format>
    <format dxfId="1568">
      <pivotArea dataOnly="0" labelOnly="1" fieldPosition="0">
        <references count="2">
          <reference field="1" count="1" selected="0">
            <x v="184"/>
          </reference>
          <reference field="2" count="1">
            <x v="91"/>
          </reference>
        </references>
      </pivotArea>
    </format>
    <format dxfId="1567">
      <pivotArea dataOnly="0" labelOnly="1" fieldPosition="0">
        <references count="2">
          <reference field="1" count="1" selected="0">
            <x v="185"/>
          </reference>
          <reference field="2" count="1">
            <x v="53"/>
          </reference>
        </references>
      </pivotArea>
    </format>
    <format dxfId="1566">
      <pivotArea dataOnly="0" labelOnly="1" fieldPosition="0">
        <references count="2">
          <reference field="1" count="1" selected="0">
            <x v="186"/>
          </reference>
          <reference field="2" count="1">
            <x v="55"/>
          </reference>
        </references>
      </pivotArea>
    </format>
    <format dxfId="1565">
      <pivotArea dataOnly="0" labelOnly="1" fieldPosition="0">
        <references count="2">
          <reference field="1" count="1" selected="0">
            <x v="187"/>
          </reference>
          <reference field="2" count="1">
            <x v="98"/>
          </reference>
        </references>
      </pivotArea>
    </format>
    <format dxfId="1564">
      <pivotArea dataOnly="0" labelOnly="1" fieldPosition="0">
        <references count="2">
          <reference field="1" count="1" selected="0">
            <x v="188"/>
          </reference>
          <reference field="2" count="1">
            <x v="52"/>
          </reference>
        </references>
      </pivotArea>
    </format>
    <format dxfId="1563">
      <pivotArea dataOnly="0" labelOnly="1" fieldPosition="0">
        <references count="2">
          <reference field="1" count="1" selected="0">
            <x v="189"/>
          </reference>
          <reference field="2" count="1">
            <x v="52"/>
          </reference>
        </references>
      </pivotArea>
    </format>
    <format dxfId="1562">
      <pivotArea dataOnly="0" labelOnly="1" fieldPosition="0">
        <references count="2">
          <reference field="1" count="1" selected="0">
            <x v="190"/>
          </reference>
          <reference field="2" count="1">
            <x v="52"/>
          </reference>
        </references>
      </pivotArea>
    </format>
    <format dxfId="1561">
      <pivotArea dataOnly="0" labelOnly="1" fieldPosition="0">
        <references count="2">
          <reference field="1" count="1" selected="0">
            <x v="191"/>
          </reference>
          <reference field="2" count="1">
            <x v="53"/>
          </reference>
        </references>
      </pivotArea>
    </format>
    <format dxfId="1560">
      <pivotArea dataOnly="0" labelOnly="1" fieldPosition="0">
        <references count="2">
          <reference field="1" count="1" selected="0">
            <x v="192"/>
          </reference>
          <reference field="2" count="1">
            <x v="53"/>
          </reference>
        </references>
      </pivotArea>
    </format>
    <format dxfId="1559">
      <pivotArea dataOnly="0" labelOnly="1" fieldPosition="0">
        <references count="2">
          <reference field="1" count="1" selected="0">
            <x v="193"/>
          </reference>
          <reference field="2" count="1">
            <x v="52"/>
          </reference>
        </references>
      </pivotArea>
    </format>
    <format dxfId="1558">
      <pivotArea dataOnly="0" labelOnly="1" fieldPosition="0">
        <references count="2">
          <reference field="1" count="1" selected="0">
            <x v="194"/>
          </reference>
          <reference field="2" count="1">
            <x v="81"/>
          </reference>
        </references>
      </pivotArea>
    </format>
    <format dxfId="1557">
      <pivotArea dataOnly="0" labelOnly="1" fieldPosition="0">
        <references count="2">
          <reference field="1" count="1" selected="0">
            <x v="195"/>
          </reference>
          <reference field="2" count="1">
            <x v="52"/>
          </reference>
        </references>
      </pivotArea>
    </format>
    <format dxfId="1556">
      <pivotArea dataOnly="0" labelOnly="1" fieldPosition="0">
        <references count="2">
          <reference field="1" count="1" selected="0">
            <x v="196"/>
          </reference>
          <reference field="2" count="1">
            <x v="34"/>
          </reference>
        </references>
      </pivotArea>
    </format>
    <format dxfId="1555">
      <pivotArea dataOnly="0" labelOnly="1" fieldPosition="0">
        <references count="2">
          <reference field="1" count="1" selected="0">
            <x v="197"/>
          </reference>
          <reference field="2" count="1">
            <x v="53"/>
          </reference>
        </references>
      </pivotArea>
    </format>
    <format dxfId="1554">
      <pivotArea dataOnly="0" labelOnly="1" fieldPosition="0">
        <references count="2">
          <reference field="1" count="1" selected="0">
            <x v="198"/>
          </reference>
          <reference field="2" count="1">
            <x v="53"/>
          </reference>
        </references>
      </pivotArea>
    </format>
    <format dxfId="1553">
      <pivotArea dataOnly="0" labelOnly="1" fieldPosition="0">
        <references count="2">
          <reference field="1" count="1" selected="0">
            <x v="199"/>
          </reference>
          <reference field="2" count="1">
            <x v="23"/>
          </reference>
        </references>
      </pivotArea>
    </format>
    <format dxfId="1552">
      <pivotArea dataOnly="0" labelOnly="1" fieldPosition="0">
        <references count="2">
          <reference field="1" count="1" selected="0">
            <x v="200"/>
          </reference>
          <reference field="2" count="1">
            <x v="23"/>
          </reference>
        </references>
      </pivotArea>
    </format>
    <format dxfId="1551">
      <pivotArea dataOnly="0" labelOnly="1" fieldPosition="0">
        <references count="2">
          <reference field="1" count="1" selected="0">
            <x v="201"/>
          </reference>
          <reference field="2" count="1">
            <x v="23"/>
          </reference>
        </references>
      </pivotArea>
    </format>
    <format dxfId="1550">
      <pivotArea dataOnly="0" labelOnly="1" fieldPosition="0">
        <references count="2">
          <reference field="1" count="1" selected="0">
            <x v="202"/>
          </reference>
          <reference field="2" count="1">
            <x v="52"/>
          </reference>
        </references>
      </pivotArea>
    </format>
    <format dxfId="1549">
      <pivotArea dataOnly="0" labelOnly="1" fieldPosition="0">
        <references count="2">
          <reference field="1" count="1" selected="0">
            <x v="203"/>
          </reference>
          <reference field="2" count="1">
            <x v="1"/>
          </reference>
        </references>
      </pivotArea>
    </format>
    <format dxfId="1548">
      <pivotArea dataOnly="0" labelOnly="1" fieldPosition="0">
        <references count="2">
          <reference field="1" count="1" selected="0">
            <x v="204"/>
          </reference>
          <reference field="2" count="1">
            <x v="66"/>
          </reference>
        </references>
      </pivotArea>
    </format>
    <format dxfId="1547">
      <pivotArea dataOnly="0" labelOnly="1" fieldPosition="0">
        <references count="2">
          <reference field="1" count="1" selected="0">
            <x v="205"/>
          </reference>
          <reference field="2" count="1">
            <x v="52"/>
          </reference>
        </references>
      </pivotArea>
    </format>
    <format dxfId="1546">
      <pivotArea dataOnly="0" labelOnly="1" fieldPosition="0">
        <references count="2">
          <reference field="1" count="1" selected="0">
            <x v="206"/>
          </reference>
          <reference field="2" count="1">
            <x v="31"/>
          </reference>
        </references>
      </pivotArea>
    </format>
    <format dxfId="1545">
      <pivotArea dataOnly="0" labelOnly="1" fieldPosition="0">
        <references count="2">
          <reference field="1" count="1" selected="0">
            <x v="207"/>
          </reference>
          <reference field="2" count="1">
            <x v="53"/>
          </reference>
        </references>
      </pivotArea>
    </format>
    <format dxfId="1544">
      <pivotArea dataOnly="0" labelOnly="1" fieldPosition="0">
        <references count="2">
          <reference field="1" count="1" selected="0">
            <x v="208"/>
          </reference>
          <reference field="2" count="1">
            <x v="8"/>
          </reference>
        </references>
      </pivotArea>
    </format>
    <format dxfId="1543">
      <pivotArea dataOnly="0" labelOnly="1" fieldPosition="0">
        <references count="2">
          <reference field="1" count="1" selected="0">
            <x v="209"/>
          </reference>
          <reference field="2" count="1">
            <x v="52"/>
          </reference>
        </references>
      </pivotArea>
    </format>
    <format dxfId="1542">
      <pivotArea dataOnly="0" labelOnly="1" fieldPosition="0">
        <references count="2">
          <reference field="1" count="1" selected="0">
            <x v="210"/>
          </reference>
          <reference field="2" count="1">
            <x v="104"/>
          </reference>
        </references>
      </pivotArea>
    </format>
    <format dxfId="1541">
      <pivotArea dataOnly="0" labelOnly="1" fieldPosition="0">
        <references count="2">
          <reference field="1" count="1" selected="0">
            <x v="211"/>
          </reference>
          <reference field="2" count="1">
            <x v="53"/>
          </reference>
        </references>
      </pivotArea>
    </format>
    <format dxfId="1540">
      <pivotArea dataOnly="0" labelOnly="1" fieldPosition="0">
        <references count="2">
          <reference field="1" count="1" selected="0">
            <x v="212"/>
          </reference>
          <reference field="2" count="1">
            <x v="53"/>
          </reference>
        </references>
      </pivotArea>
    </format>
    <format dxfId="1539">
      <pivotArea dataOnly="0" labelOnly="1" fieldPosition="0">
        <references count="2">
          <reference field="1" count="1" selected="0">
            <x v="213"/>
          </reference>
          <reference field="2" count="1">
            <x v="93"/>
          </reference>
        </references>
      </pivotArea>
    </format>
    <format dxfId="1538">
      <pivotArea dataOnly="0" labelOnly="1" fieldPosition="0">
        <references count="2">
          <reference field="1" count="1" selected="0">
            <x v="214"/>
          </reference>
          <reference field="2" count="1">
            <x v="66"/>
          </reference>
        </references>
      </pivotArea>
    </format>
    <format dxfId="1537">
      <pivotArea dataOnly="0" labelOnly="1" fieldPosition="0">
        <references count="2">
          <reference field="1" count="1" selected="0">
            <x v="215"/>
          </reference>
          <reference field="2" count="1">
            <x v="52"/>
          </reference>
        </references>
      </pivotArea>
    </format>
    <format dxfId="1536">
      <pivotArea dataOnly="0" labelOnly="1" fieldPosition="0">
        <references count="2">
          <reference field="1" count="1" selected="0">
            <x v="216"/>
          </reference>
          <reference field="2" count="1">
            <x v="45"/>
          </reference>
        </references>
      </pivotArea>
    </format>
    <format dxfId="1535">
      <pivotArea dataOnly="0" labelOnly="1" fieldPosition="0">
        <references count="2">
          <reference field="1" count="1" selected="0">
            <x v="217"/>
          </reference>
          <reference field="2" count="1">
            <x v="52"/>
          </reference>
        </references>
      </pivotArea>
    </format>
    <format dxfId="1534">
      <pivotArea dataOnly="0" labelOnly="1" fieldPosition="0">
        <references count="2">
          <reference field="1" count="1" selected="0">
            <x v="218"/>
          </reference>
          <reference field="2" count="1">
            <x v="52"/>
          </reference>
        </references>
      </pivotArea>
    </format>
    <format dxfId="1533">
      <pivotArea dataOnly="0" labelOnly="1" fieldPosition="0">
        <references count="2">
          <reference field="1" count="1" selected="0">
            <x v="219"/>
          </reference>
          <reference field="2" count="1">
            <x v="52"/>
          </reference>
        </references>
      </pivotArea>
    </format>
    <format dxfId="1532">
      <pivotArea dataOnly="0" labelOnly="1" fieldPosition="0">
        <references count="2">
          <reference field="1" count="1" selected="0">
            <x v="220"/>
          </reference>
          <reference field="2" count="1">
            <x v="1"/>
          </reference>
        </references>
      </pivotArea>
    </format>
    <format dxfId="1531">
      <pivotArea dataOnly="0" labelOnly="1" fieldPosition="0">
        <references count="2">
          <reference field="1" count="1" selected="0">
            <x v="221"/>
          </reference>
          <reference field="2" count="1">
            <x v="53"/>
          </reference>
        </references>
      </pivotArea>
    </format>
    <format dxfId="1530">
      <pivotArea dataOnly="0" labelOnly="1" fieldPosition="0">
        <references count="2">
          <reference field="1" count="1" selected="0">
            <x v="222"/>
          </reference>
          <reference field="2" count="1">
            <x v="52"/>
          </reference>
        </references>
      </pivotArea>
    </format>
    <format dxfId="1529">
      <pivotArea dataOnly="0" labelOnly="1" fieldPosition="0">
        <references count="2">
          <reference field="1" count="1" selected="0">
            <x v="223"/>
          </reference>
          <reference field="2" count="1">
            <x v="53"/>
          </reference>
        </references>
      </pivotArea>
    </format>
    <format dxfId="1528">
      <pivotArea dataOnly="0" labelOnly="1" fieldPosition="0">
        <references count="2">
          <reference field="1" count="1" selected="0">
            <x v="224"/>
          </reference>
          <reference field="2" count="1">
            <x v="74"/>
          </reference>
        </references>
      </pivotArea>
    </format>
    <format dxfId="1527">
      <pivotArea dataOnly="0" labelOnly="1" fieldPosition="0">
        <references count="2">
          <reference field="1" count="1" selected="0">
            <x v="225"/>
          </reference>
          <reference field="2" count="1">
            <x v="43"/>
          </reference>
        </references>
      </pivotArea>
    </format>
    <format dxfId="1526">
      <pivotArea dataOnly="0" labelOnly="1" fieldPosition="0">
        <references count="2">
          <reference field="1" count="1" selected="0">
            <x v="226"/>
          </reference>
          <reference field="2" count="1">
            <x v="1"/>
          </reference>
        </references>
      </pivotArea>
    </format>
    <format dxfId="1525">
      <pivotArea dataOnly="0" labelOnly="1" fieldPosition="0">
        <references count="2">
          <reference field="1" count="1" selected="0">
            <x v="227"/>
          </reference>
          <reference field="2" count="1">
            <x v="1"/>
          </reference>
        </references>
      </pivotArea>
    </format>
    <format dxfId="1524">
      <pivotArea dataOnly="0" labelOnly="1" fieldPosition="0">
        <references count="2">
          <reference field="1" count="1" selected="0">
            <x v="228"/>
          </reference>
          <reference field="2" count="1">
            <x v="96"/>
          </reference>
        </references>
      </pivotArea>
    </format>
    <format dxfId="1523">
      <pivotArea dataOnly="0" labelOnly="1" fieldPosition="0">
        <references count="2">
          <reference field="1" count="1" selected="0">
            <x v="229"/>
          </reference>
          <reference field="2" count="1">
            <x v="18"/>
          </reference>
        </references>
      </pivotArea>
    </format>
    <format dxfId="1522">
      <pivotArea dataOnly="0" labelOnly="1" fieldPosition="0">
        <references count="2">
          <reference field="1" count="1" selected="0">
            <x v="230"/>
          </reference>
          <reference field="2" count="1">
            <x v="55"/>
          </reference>
        </references>
      </pivotArea>
    </format>
    <format dxfId="1521">
      <pivotArea dataOnly="0" labelOnly="1" fieldPosition="0">
        <references count="2">
          <reference field="1" count="1" selected="0">
            <x v="231"/>
          </reference>
          <reference field="2" count="1">
            <x v="52"/>
          </reference>
        </references>
      </pivotArea>
    </format>
    <format dxfId="1520">
      <pivotArea dataOnly="0" labelOnly="1" fieldPosition="0">
        <references count="2">
          <reference field="1" count="1" selected="0">
            <x v="232"/>
          </reference>
          <reference field="2" count="1">
            <x v="53"/>
          </reference>
        </references>
      </pivotArea>
    </format>
    <format dxfId="1519">
      <pivotArea dataOnly="0" labelOnly="1" fieldPosition="0">
        <references count="2">
          <reference field="1" count="1" selected="0">
            <x v="233"/>
          </reference>
          <reference field="2" count="1">
            <x v="34"/>
          </reference>
        </references>
      </pivotArea>
    </format>
    <format dxfId="1518">
      <pivotArea dataOnly="0" labelOnly="1" fieldPosition="0">
        <references count="2">
          <reference field="1" count="1" selected="0">
            <x v="234"/>
          </reference>
          <reference field="2" count="1">
            <x v="1"/>
          </reference>
        </references>
      </pivotArea>
    </format>
    <format dxfId="1517">
      <pivotArea dataOnly="0" labelOnly="1" fieldPosition="0">
        <references count="2">
          <reference field="1" count="1" selected="0">
            <x v="235"/>
          </reference>
          <reference field="2" count="1">
            <x v="53"/>
          </reference>
        </references>
      </pivotArea>
    </format>
    <format dxfId="1516">
      <pivotArea dataOnly="0" labelOnly="1" fieldPosition="0">
        <references count="2">
          <reference field="1" count="1" selected="0">
            <x v="236"/>
          </reference>
          <reference field="2" count="1">
            <x v="1"/>
          </reference>
        </references>
      </pivotArea>
    </format>
    <format dxfId="1515">
      <pivotArea dataOnly="0" labelOnly="1" fieldPosition="0">
        <references count="2">
          <reference field="1" count="1" selected="0">
            <x v="237"/>
          </reference>
          <reference field="2" count="1">
            <x v="52"/>
          </reference>
        </references>
      </pivotArea>
    </format>
    <format dxfId="1514">
      <pivotArea dataOnly="0" labelOnly="1" fieldPosition="0">
        <references count="2">
          <reference field="1" count="1" selected="0">
            <x v="238"/>
          </reference>
          <reference field="2" count="1">
            <x v="52"/>
          </reference>
        </references>
      </pivotArea>
    </format>
    <format dxfId="1513">
      <pivotArea dataOnly="0" labelOnly="1" fieldPosition="0">
        <references count="2">
          <reference field="1" count="1" selected="0">
            <x v="239"/>
          </reference>
          <reference field="2" count="1">
            <x v="23"/>
          </reference>
        </references>
      </pivotArea>
    </format>
    <format dxfId="1512">
      <pivotArea dataOnly="0" labelOnly="1" fieldPosition="0">
        <references count="2">
          <reference field="1" count="1" selected="0">
            <x v="240"/>
          </reference>
          <reference field="2" count="1">
            <x v="34"/>
          </reference>
        </references>
      </pivotArea>
    </format>
    <format dxfId="1511">
      <pivotArea dataOnly="0" labelOnly="1" fieldPosition="0">
        <references count="2">
          <reference field="1" count="1" selected="0">
            <x v="241"/>
          </reference>
          <reference field="2" count="1">
            <x v="34"/>
          </reference>
        </references>
      </pivotArea>
    </format>
    <format dxfId="1510">
      <pivotArea dataOnly="0" labelOnly="1" fieldPosition="0">
        <references count="2">
          <reference field="1" count="1" selected="0">
            <x v="242"/>
          </reference>
          <reference field="2" count="1">
            <x v="23"/>
          </reference>
        </references>
      </pivotArea>
    </format>
    <format dxfId="1509">
      <pivotArea dataOnly="0" labelOnly="1" fieldPosition="0">
        <references count="2">
          <reference field="1" count="1" selected="0">
            <x v="243"/>
          </reference>
          <reference field="2" count="1">
            <x v="53"/>
          </reference>
        </references>
      </pivotArea>
    </format>
    <format dxfId="1508">
      <pivotArea dataOnly="0" labelOnly="1" fieldPosition="0">
        <references count="2">
          <reference field="1" count="1" selected="0">
            <x v="244"/>
          </reference>
          <reference field="2" count="1">
            <x v="34"/>
          </reference>
        </references>
      </pivotArea>
    </format>
    <format dxfId="1507">
      <pivotArea dataOnly="0" labelOnly="1" fieldPosition="0">
        <references count="2">
          <reference field="1" count="1" selected="0">
            <x v="245"/>
          </reference>
          <reference field="2" count="1">
            <x v="65"/>
          </reference>
        </references>
      </pivotArea>
    </format>
    <format dxfId="1506">
      <pivotArea dataOnly="0" labelOnly="1" fieldPosition="0">
        <references count="2">
          <reference field="1" count="1" selected="0">
            <x v="246"/>
          </reference>
          <reference field="2" count="1">
            <x v="23"/>
          </reference>
        </references>
      </pivotArea>
    </format>
    <format dxfId="1505">
      <pivotArea dataOnly="0" labelOnly="1" fieldPosition="0">
        <references count="2">
          <reference field="1" count="1" selected="0">
            <x v="247"/>
          </reference>
          <reference field="2" count="1">
            <x v="6"/>
          </reference>
        </references>
      </pivotArea>
    </format>
    <format dxfId="1504">
      <pivotArea dataOnly="0" labelOnly="1" fieldPosition="0">
        <references count="2">
          <reference field="1" count="1" selected="0">
            <x v="248"/>
          </reference>
          <reference field="2" count="1">
            <x v="23"/>
          </reference>
        </references>
      </pivotArea>
    </format>
    <format dxfId="1503">
      <pivotArea dataOnly="0" labelOnly="1" fieldPosition="0">
        <references count="2">
          <reference field="1" count="1" selected="0">
            <x v="249"/>
          </reference>
          <reference field="2" count="1">
            <x v="86"/>
          </reference>
        </references>
      </pivotArea>
    </format>
    <format dxfId="1502">
      <pivotArea dataOnly="0" labelOnly="1" fieldPosition="0">
        <references count="2">
          <reference field="1" count="1" selected="0">
            <x v="250"/>
          </reference>
          <reference field="2" count="1">
            <x v="11"/>
          </reference>
        </references>
      </pivotArea>
    </format>
    <format dxfId="1501">
      <pivotArea dataOnly="0" labelOnly="1" fieldPosition="0">
        <references count="2">
          <reference field="1" count="1" selected="0">
            <x v="251"/>
          </reference>
          <reference field="2" count="1">
            <x v="53"/>
          </reference>
        </references>
      </pivotArea>
    </format>
    <format dxfId="1500">
      <pivotArea dataOnly="0" labelOnly="1" fieldPosition="0">
        <references count="2">
          <reference field="1" count="1" selected="0">
            <x v="252"/>
          </reference>
          <reference field="2" count="1">
            <x v="34"/>
          </reference>
        </references>
      </pivotArea>
    </format>
    <format dxfId="1499">
      <pivotArea dataOnly="0" labelOnly="1" fieldPosition="0">
        <references count="2">
          <reference field="1" count="1" selected="0">
            <x v="253"/>
          </reference>
          <reference field="2" count="1">
            <x v="34"/>
          </reference>
        </references>
      </pivotArea>
    </format>
    <format dxfId="1498">
      <pivotArea dataOnly="0" labelOnly="1" fieldPosition="0">
        <references count="2">
          <reference field="1" count="1" selected="0">
            <x v="254"/>
          </reference>
          <reference field="2" count="1">
            <x v="101"/>
          </reference>
        </references>
      </pivotArea>
    </format>
    <format dxfId="1497">
      <pivotArea dataOnly="0" labelOnly="1" fieldPosition="0">
        <references count="2">
          <reference field="1" count="1" selected="0">
            <x v="255"/>
          </reference>
          <reference field="2" count="1">
            <x v="0"/>
          </reference>
        </references>
      </pivotArea>
    </format>
    <format dxfId="1496">
      <pivotArea dataOnly="0" labelOnly="1" fieldPosition="0">
        <references count="2">
          <reference field="1" count="1" selected="0">
            <x v="256"/>
          </reference>
          <reference field="2" count="1">
            <x v="34"/>
          </reference>
        </references>
      </pivotArea>
    </format>
    <format dxfId="1495">
      <pivotArea dataOnly="0" labelOnly="1" fieldPosition="0">
        <references count="2">
          <reference field="1" count="1" selected="0">
            <x v="257"/>
          </reference>
          <reference field="2" count="1">
            <x v="34"/>
          </reference>
        </references>
      </pivotArea>
    </format>
    <format dxfId="1494">
      <pivotArea dataOnly="0" labelOnly="1" fieldPosition="0">
        <references count="2">
          <reference field="1" count="1" selected="0">
            <x v="258"/>
          </reference>
          <reference field="2" count="1">
            <x v="43"/>
          </reference>
        </references>
      </pivotArea>
    </format>
    <format dxfId="1493">
      <pivotArea dataOnly="0" labelOnly="1" fieldPosition="0">
        <references count="2">
          <reference field="1" count="1" selected="0">
            <x v="259"/>
          </reference>
          <reference field="2" count="1">
            <x v="66"/>
          </reference>
        </references>
      </pivotArea>
    </format>
    <format dxfId="1492">
      <pivotArea dataOnly="0" labelOnly="1" fieldPosition="0">
        <references count="2">
          <reference field="1" count="1" selected="0">
            <x v="260"/>
          </reference>
          <reference field="2" count="1">
            <x v="24"/>
          </reference>
        </references>
      </pivotArea>
    </format>
    <format dxfId="1491">
      <pivotArea dataOnly="0" labelOnly="1" fieldPosition="0">
        <references count="2">
          <reference field="1" count="1" selected="0">
            <x v="261"/>
          </reference>
          <reference field="2" count="1">
            <x v="81"/>
          </reference>
        </references>
      </pivotArea>
    </format>
    <format dxfId="1490">
      <pivotArea dataOnly="0" labelOnly="1" fieldPosition="0">
        <references count="2">
          <reference field="1" count="1" selected="0">
            <x v="262"/>
          </reference>
          <reference field="2" count="1">
            <x v="34"/>
          </reference>
        </references>
      </pivotArea>
    </format>
    <format dxfId="1489">
      <pivotArea dataOnly="0" labelOnly="1" fieldPosition="0">
        <references count="2">
          <reference field="1" count="1" selected="0">
            <x v="263"/>
          </reference>
          <reference field="2" count="1">
            <x v="23"/>
          </reference>
        </references>
      </pivotArea>
    </format>
    <format dxfId="1488">
      <pivotArea dataOnly="0" labelOnly="1" fieldPosition="0">
        <references count="2">
          <reference field="1" count="1" selected="0">
            <x v="264"/>
          </reference>
          <reference field="2" count="1">
            <x v="53"/>
          </reference>
        </references>
      </pivotArea>
    </format>
    <format dxfId="1487">
      <pivotArea dataOnly="0" labelOnly="1" fieldPosition="0">
        <references count="2">
          <reference field="1" count="1" selected="0">
            <x v="265"/>
          </reference>
          <reference field="2" count="1">
            <x v="34"/>
          </reference>
        </references>
      </pivotArea>
    </format>
    <format dxfId="1486">
      <pivotArea dataOnly="0" labelOnly="1" fieldPosition="0">
        <references count="2">
          <reference field="1" count="1" selected="0">
            <x v="266"/>
          </reference>
          <reference field="2" count="1">
            <x v="1"/>
          </reference>
        </references>
      </pivotArea>
    </format>
    <format dxfId="1485">
      <pivotArea dataOnly="0" labelOnly="1" fieldPosition="0">
        <references count="2">
          <reference field="1" count="1" selected="0">
            <x v="267"/>
          </reference>
          <reference field="2" count="1">
            <x v="52"/>
          </reference>
        </references>
      </pivotArea>
    </format>
    <format dxfId="1484">
      <pivotArea dataOnly="0" labelOnly="1" fieldPosition="0">
        <references count="2">
          <reference field="1" count="1" selected="0">
            <x v="268"/>
          </reference>
          <reference field="2" count="1">
            <x v="34"/>
          </reference>
        </references>
      </pivotArea>
    </format>
    <format dxfId="1483">
      <pivotArea dataOnly="0" labelOnly="1" fieldPosition="0">
        <references count="2">
          <reference field="1" count="1" selected="0">
            <x v="269"/>
          </reference>
          <reference field="2" count="2">
            <x v="23"/>
            <x v="34"/>
          </reference>
        </references>
      </pivotArea>
    </format>
    <format dxfId="1482">
      <pivotArea dataOnly="0" labelOnly="1" fieldPosition="0">
        <references count="2">
          <reference field="1" count="1" selected="0">
            <x v="270"/>
          </reference>
          <reference field="2" count="1">
            <x v="73"/>
          </reference>
        </references>
      </pivotArea>
    </format>
    <format dxfId="1481">
      <pivotArea dataOnly="0" labelOnly="1" fieldPosition="0">
        <references count="2">
          <reference field="1" count="1" selected="0">
            <x v="271"/>
          </reference>
          <reference field="2" count="1">
            <x v="23"/>
          </reference>
        </references>
      </pivotArea>
    </format>
    <format dxfId="1480">
      <pivotArea dataOnly="0" labelOnly="1" fieldPosition="0">
        <references count="2">
          <reference field="1" count="1" selected="0">
            <x v="272"/>
          </reference>
          <reference field="2" count="1">
            <x v="37"/>
          </reference>
        </references>
      </pivotArea>
    </format>
    <format dxfId="1479">
      <pivotArea dataOnly="0" labelOnly="1" fieldPosition="0">
        <references count="2">
          <reference field="1" count="1" selected="0">
            <x v="273"/>
          </reference>
          <reference field="2" count="1">
            <x v="35"/>
          </reference>
        </references>
      </pivotArea>
    </format>
    <format dxfId="1478">
      <pivotArea dataOnly="0" labelOnly="1" fieldPosition="0">
        <references count="2">
          <reference field="1" count="1" selected="0">
            <x v="274"/>
          </reference>
          <reference field="2" count="1">
            <x v="89"/>
          </reference>
        </references>
      </pivotArea>
    </format>
    <format dxfId="1477">
      <pivotArea dataOnly="0" labelOnly="1" fieldPosition="0">
        <references count="2">
          <reference field="1" count="1" selected="0">
            <x v="275"/>
          </reference>
          <reference field="2" count="1">
            <x v="9"/>
          </reference>
        </references>
      </pivotArea>
    </format>
    <format dxfId="1476">
      <pivotArea dataOnly="0" labelOnly="1" fieldPosition="0">
        <references count="2">
          <reference field="1" count="1" selected="0">
            <x v="276"/>
          </reference>
          <reference field="2" count="1">
            <x v="53"/>
          </reference>
        </references>
      </pivotArea>
    </format>
    <format dxfId="1475">
      <pivotArea dataOnly="0" labelOnly="1" fieldPosition="0">
        <references count="2">
          <reference field="1" count="1" selected="0">
            <x v="277"/>
          </reference>
          <reference field="2" count="1">
            <x v="87"/>
          </reference>
        </references>
      </pivotArea>
    </format>
    <format dxfId="1474">
      <pivotArea dataOnly="0" labelOnly="1" fieldPosition="0">
        <references count="2">
          <reference field="1" count="1" selected="0">
            <x v="278"/>
          </reference>
          <reference field="2" count="1">
            <x v="55"/>
          </reference>
        </references>
      </pivotArea>
    </format>
    <format dxfId="1473">
      <pivotArea dataOnly="0" labelOnly="1" fieldPosition="0">
        <references count="2">
          <reference field="1" count="1" selected="0">
            <x v="279"/>
          </reference>
          <reference field="2" count="1">
            <x v="14"/>
          </reference>
        </references>
      </pivotArea>
    </format>
    <format dxfId="1472">
      <pivotArea dataOnly="0" labelOnly="1" fieldPosition="0">
        <references count="2">
          <reference field="1" count="1" selected="0">
            <x v="280"/>
          </reference>
          <reference field="2" count="1">
            <x v="63"/>
          </reference>
        </references>
      </pivotArea>
    </format>
    <format dxfId="1471">
      <pivotArea dataOnly="0" labelOnly="1" fieldPosition="0">
        <references count="2">
          <reference field="1" count="1" selected="0">
            <x v="281"/>
          </reference>
          <reference field="2" count="1">
            <x v="1"/>
          </reference>
        </references>
      </pivotArea>
    </format>
    <format dxfId="1470">
      <pivotArea dataOnly="0" labelOnly="1" fieldPosition="0">
        <references count="2">
          <reference field="1" count="1" selected="0">
            <x v="282"/>
          </reference>
          <reference field="2" count="1">
            <x v="52"/>
          </reference>
        </references>
      </pivotArea>
    </format>
    <format dxfId="1469">
      <pivotArea dataOnly="0" labelOnly="1" fieldPosition="0">
        <references count="2">
          <reference field="1" count="1" selected="0">
            <x v="283"/>
          </reference>
          <reference field="2" count="1">
            <x v="85"/>
          </reference>
        </references>
      </pivotArea>
    </format>
    <format dxfId="1468">
      <pivotArea dataOnly="0" labelOnly="1" fieldPosition="0">
        <references count="2">
          <reference field="1" count="1" selected="0">
            <x v="284"/>
          </reference>
          <reference field="2" count="1">
            <x v="91"/>
          </reference>
        </references>
      </pivotArea>
    </format>
    <format dxfId="1467">
      <pivotArea dataOnly="0" labelOnly="1" fieldPosition="0">
        <references count="2">
          <reference field="1" count="1" selected="0">
            <x v="285"/>
          </reference>
          <reference field="2" count="1">
            <x v="28"/>
          </reference>
        </references>
      </pivotArea>
    </format>
    <format dxfId="1466">
      <pivotArea dataOnly="0" labelOnly="1" fieldPosition="0">
        <references count="2">
          <reference field="1" count="1" selected="0">
            <x v="286"/>
          </reference>
          <reference field="2" count="1">
            <x v="23"/>
          </reference>
        </references>
      </pivotArea>
    </format>
    <format dxfId="1465">
      <pivotArea dataOnly="0" labelOnly="1" fieldPosition="0">
        <references count="2">
          <reference field="1" count="1" selected="0">
            <x v="287"/>
          </reference>
          <reference field="2" count="1">
            <x v="1"/>
          </reference>
        </references>
      </pivotArea>
    </format>
    <format dxfId="1464">
      <pivotArea dataOnly="0" labelOnly="1" fieldPosition="0">
        <references count="2">
          <reference field="1" count="1" selected="0">
            <x v="288"/>
          </reference>
          <reference field="2" count="1">
            <x v="8"/>
          </reference>
        </references>
      </pivotArea>
    </format>
    <format dxfId="1463">
      <pivotArea dataOnly="0" labelOnly="1" fieldPosition="0">
        <references count="2">
          <reference field="1" count="1" selected="0">
            <x v="289"/>
          </reference>
          <reference field="2" count="1">
            <x v="53"/>
          </reference>
        </references>
      </pivotArea>
    </format>
    <format dxfId="1462">
      <pivotArea dataOnly="0" labelOnly="1" fieldPosition="0">
        <references count="2">
          <reference field="1" count="1" selected="0">
            <x v="290"/>
          </reference>
          <reference field="2" count="1">
            <x v="52"/>
          </reference>
        </references>
      </pivotArea>
    </format>
    <format dxfId="1461">
      <pivotArea dataOnly="0" labelOnly="1" fieldPosition="0">
        <references count="2">
          <reference field="1" count="1" selected="0">
            <x v="291"/>
          </reference>
          <reference field="2" count="1">
            <x v="53"/>
          </reference>
        </references>
      </pivotArea>
    </format>
    <format dxfId="1460">
      <pivotArea dataOnly="0" labelOnly="1" fieldPosition="0">
        <references count="2">
          <reference field="1" count="1" selected="0">
            <x v="292"/>
          </reference>
          <reference field="2" count="1">
            <x v="23"/>
          </reference>
        </references>
      </pivotArea>
    </format>
    <format dxfId="1459">
      <pivotArea dataOnly="0" labelOnly="1" fieldPosition="0">
        <references count="2">
          <reference field="1" count="1" selected="0">
            <x v="293"/>
          </reference>
          <reference field="2" count="1">
            <x v="34"/>
          </reference>
        </references>
      </pivotArea>
    </format>
    <format dxfId="1458">
      <pivotArea dataOnly="0" labelOnly="1" fieldPosition="0">
        <references count="2">
          <reference field="1" count="1" selected="0">
            <x v="294"/>
          </reference>
          <reference field="2" count="1">
            <x v="1"/>
          </reference>
        </references>
      </pivotArea>
    </format>
    <format dxfId="1457">
      <pivotArea dataOnly="0" labelOnly="1" fieldPosition="0">
        <references count="2">
          <reference field="1" count="1" selected="0">
            <x v="295"/>
          </reference>
          <reference field="2" count="1">
            <x v="56"/>
          </reference>
        </references>
      </pivotArea>
    </format>
    <format dxfId="1456">
      <pivotArea dataOnly="0" labelOnly="1" fieldPosition="0">
        <references count="2">
          <reference field="1" count="1" selected="0">
            <x v="296"/>
          </reference>
          <reference field="2" count="1">
            <x v="34"/>
          </reference>
        </references>
      </pivotArea>
    </format>
    <format dxfId="1455">
      <pivotArea dataOnly="0" labelOnly="1" fieldPosition="0">
        <references count="2">
          <reference field="1" count="1" selected="0">
            <x v="297"/>
          </reference>
          <reference field="2" count="1">
            <x v="23"/>
          </reference>
        </references>
      </pivotArea>
    </format>
    <format dxfId="1454">
      <pivotArea dataOnly="0" labelOnly="1" fieldPosition="0">
        <references count="2">
          <reference field="1" count="1" selected="0">
            <x v="298"/>
          </reference>
          <reference field="2" count="2">
            <x v="12"/>
            <x v="52"/>
          </reference>
        </references>
      </pivotArea>
    </format>
    <format dxfId="1453">
      <pivotArea dataOnly="0" labelOnly="1" fieldPosition="0">
        <references count="2">
          <reference field="1" count="1" selected="0">
            <x v="299"/>
          </reference>
          <reference field="2" count="1">
            <x v="34"/>
          </reference>
        </references>
      </pivotArea>
    </format>
    <format dxfId="1452">
      <pivotArea dataOnly="0" labelOnly="1" fieldPosition="0">
        <references count="2">
          <reference field="1" count="1" selected="0">
            <x v="300"/>
          </reference>
          <reference field="2" count="1">
            <x v="34"/>
          </reference>
        </references>
      </pivotArea>
    </format>
    <format dxfId="1451">
      <pivotArea dataOnly="0" labelOnly="1" fieldPosition="0">
        <references count="2">
          <reference field="1" count="1" selected="0">
            <x v="301"/>
          </reference>
          <reference field="2" count="1">
            <x v="1"/>
          </reference>
        </references>
      </pivotArea>
    </format>
    <format dxfId="1450">
      <pivotArea dataOnly="0" labelOnly="1" fieldPosition="0">
        <references count="2">
          <reference field="1" count="1" selected="0">
            <x v="302"/>
          </reference>
          <reference field="2" count="1">
            <x v="73"/>
          </reference>
        </references>
      </pivotArea>
    </format>
    <format dxfId="1449">
      <pivotArea dataOnly="0" labelOnly="1" fieldPosition="0">
        <references count="2">
          <reference field="1" count="1" selected="0">
            <x v="303"/>
          </reference>
          <reference field="2" count="1">
            <x v="52"/>
          </reference>
        </references>
      </pivotArea>
    </format>
    <format dxfId="1448">
      <pivotArea dataOnly="0" labelOnly="1" fieldPosition="0">
        <references count="2">
          <reference field="1" count="1" selected="0">
            <x v="304"/>
          </reference>
          <reference field="2" count="1">
            <x v="66"/>
          </reference>
        </references>
      </pivotArea>
    </format>
    <format dxfId="1447">
      <pivotArea dataOnly="0" labelOnly="1" fieldPosition="0">
        <references count="2">
          <reference field="1" count="1" selected="0">
            <x v="305"/>
          </reference>
          <reference field="2" count="1">
            <x v="44"/>
          </reference>
        </references>
      </pivotArea>
    </format>
    <format dxfId="1446">
      <pivotArea dataOnly="0" labelOnly="1" fieldPosition="0">
        <references count="2">
          <reference field="1" count="1" selected="0">
            <x v="306"/>
          </reference>
          <reference field="2" count="1">
            <x v="8"/>
          </reference>
        </references>
      </pivotArea>
    </format>
    <format dxfId="1445">
      <pivotArea dataOnly="0" labelOnly="1" fieldPosition="0">
        <references count="2">
          <reference field="1" count="1" selected="0">
            <x v="307"/>
          </reference>
          <reference field="2" count="1">
            <x v="66"/>
          </reference>
        </references>
      </pivotArea>
    </format>
    <format dxfId="1444">
      <pivotArea dataOnly="0" labelOnly="1" fieldPosition="0">
        <references count="2">
          <reference field="1" count="1" selected="0">
            <x v="308"/>
          </reference>
          <reference field="2" count="1">
            <x v="17"/>
          </reference>
        </references>
      </pivotArea>
    </format>
    <format dxfId="1443">
      <pivotArea dataOnly="0" labelOnly="1" fieldPosition="0">
        <references count="2">
          <reference field="1" count="1" selected="0">
            <x v="309"/>
          </reference>
          <reference field="2" count="1">
            <x v="67"/>
          </reference>
        </references>
      </pivotArea>
    </format>
    <format dxfId="1442">
      <pivotArea dataOnly="0" labelOnly="1" fieldPosition="0">
        <references count="2">
          <reference field="1" count="1" selected="0">
            <x v="310"/>
          </reference>
          <reference field="2" count="1">
            <x v="28"/>
          </reference>
        </references>
      </pivotArea>
    </format>
    <format dxfId="1441">
      <pivotArea dataOnly="0" labelOnly="1" fieldPosition="0">
        <references count="2">
          <reference field="1" count="1" selected="0">
            <x v="311"/>
          </reference>
          <reference field="2" count="1">
            <x v="52"/>
          </reference>
        </references>
      </pivotArea>
    </format>
    <format dxfId="1440">
      <pivotArea dataOnly="0" labelOnly="1" fieldPosition="0">
        <references count="2">
          <reference field="1" count="1" selected="0">
            <x v="312"/>
          </reference>
          <reference field="2" count="1">
            <x v="92"/>
          </reference>
        </references>
      </pivotArea>
    </format>
    <format dxfId="1439">
      <pivotArea dataOnly="0" labelOnly="1" fieldPosition="0">
        <references count="2">
          <reference field="1" count="1" selected="0">
            <x v="313"/>
          </reference>
          <reference field="2" count="1">
            <x v="52"/>
          </reference>
        </references>
      </pivotArea>
    </format>
    <format dxfId="1438">
      <pivotArea dataOnly="0" labelOnly="1" fieldPosition="0">
        <references count="2">
          <reference field="1" count="1" selected="0">
            <x v="314"/>
          </reference>
          <reference field="2" count="1">
            <x v="52"/>
          </reference>
        </references>
      </pivotArea>
    </format>
    <format dxfId="1437">
      <pivotArea dataOnly="0" labelOnly="1" fieldPosition="0">
        <references count="2">
          <reference field="1" count="1" selected="0">
            <x v="315"/>
          </reference>
          <reference field="2" count="1">
            <x v="52"/>
          </reference>
        </references>
      </pivotArea>
    </format>
    <format dxfId="1436">
      <pivotArea dataOnly="0" labelOnly="1" fieldPosition="0">
        <references count="2">
          <reference field="1" count="1" selected="0">
            <x v="316"/>
          </reference>
          <reference field="2" count="1">
            <x v="54"/>
          </reference>
        </references>
      </pivotArea>
    </format>
    <format dxfId="1435">
      <pivotArea dataOnly="0" labelOnly="1" fieldPosition="0">
        <references count="2">
          <reference field="1" count="1" selected="0">
            <x v="317"/>
          </reference>
          <reference field="2" count="1">
            <x v="26"/>
          </reference>
        </references>
      </pivotArea>
    </format>
    <format dxfId="1434">
      <pivotArea dataOnly="0" labelOnly="1" fieldPosition="0">
        <references count="2">
          <reference field="1" count="1" selected="0">
            <x v="318"/>
          </reference>
          <reference field="2" count="1">
            <x v="34"/>
          </reference>
        </references>
      </pivotArea>
    </format>
    <format dxfId="1433">
      <pivotArea dataOnly="0" labelOnly="1" fieldPosition="0">
        <references count="2">
          <reference field="1" count="1" selected="0">
            <x v="319"/>
          </reference>
          <reference field="2" count="1">
            <x v="53"/>
          </reference>
        </references>
      </pivotArea>
    </format>
    <format dxfId="1432">
      <pivotArea dataOnly="0" labelOnly="1" fieldPosition="0">
        <references count="2">
          <reference field="1" count="1" selected="0">
            <x v="320"/>
          </reference>
          <reference field="2" count="1">
            <x v="91"/>
          </reference>
        </references>
      </pivotArea>
    </format>
    <format dxfId="1431">
      <pivotArea dataOnly="0" labelOnly="1" fieldPosition="0">
        <references count="2">
          <reference field="1" count="1" selected="0">
            <x v="321"/>
          </reference>
          <reference field="2" count="1">
            <x v="66"/>
          </reference>
        </references>
      </pivotArea>
    </format>
    <format dxfId="1430">
      <pivotArea dataOnly="0" labelOnly="1" fieldPosition="0">
        <references count="2">
          <reference field="1" count="1" selected="0">
            <x v="322"/>
          </reference>
          <reference field="2" count="1">
            <x v="89"/>
          </reference>
        </references>
      </pivotArea>
    </format>
    <format dxfId="1429">
      <pivotArea dataOnly="0" labelOnly="1" fieldPosition="0">
        <references count="2">
          <reference field="1" count="1" selected="0">
            <x v="323"/>
          </reference>
          <reference field="2" count="1">
            <x v="20"/>
          </reference>
        </references>
      </pivotArea>
    </format>
    <format dxfId="1428">
      <pivotArea dataOnly="0" labelOnly="1" fieldPosition="0">
        <references count="2">
          <reference field="1" count="1" selected="0">
            <x v="324"/>
          </reference>
          <reference field="2" count="1">
            <x v="52"/>
          </reference>
        </references>
      </pivotArea>
    </format>
    <format dxfId="1427">
      <pivotArea dataOnly="0" labelOnly="1" fieldPosition="0">
        <references count="2">
          <reference field="1" count="1" selected="0">
            <x v="325"/>
          </reference>
          <reference field="2" count="1">
            <x v="82"/>
          </reference>
        </references>
      </pivotArea>
    </format>
    <format dxfId="1426">
      <pivotArea dataOnly="0" labelOnly="1" fieldPosition="0">
        <references count="2">
          <reference field="1" count="1" selected="0">
            <x v="326"/>
          </reference>
          <reference field="2" count="1">
            <x v="23"/>
          </reference>
        </references>
      </pivotArea>
    </format>
    <format dxfId="1425">
      <pivotArea dataOnly="0" labelOnly="1" fieldPosition="0">
        <references count="2">
          <reference field="1" count="1" selected="0">
            <x v="327"/>
          </reference>
          <reference field="2" count="1">
            <x v="23"/>
          </reference>
        </references>
      </pivotArea>
    </format>
    <format dxfId="1424">
      <pivotArea dataOnly="0" labelOnly="1" fieldPosition="0">
        <references count="2">
          <reference field="1" count="1" selected="0">
            <x v="328"/>
          </reference>
          <reference field="2" count="1">
            <x v="52"/>
          </reference>
        </references>
      </pivotArea>
    </format>
    <format dxfId="1423">
      <pivotArea dataOnly="0" labelOnly="1" fieldPosition="0">
        <references count="2">
          <reference field="1" count="1" selected="0">
            <x v="329"/>
          </reference>
          <reference field="2" count="1">
            <x v="52"/>
          </reference>
        </references>
      </pivotArea>
    </format>
    <format dxfId="1422">
      <pivotArea dataOnly="0" labelOnly="1" fieldPosition="0">
        <references count="2">
          <reference field="1" count="1" selected="0">
            <x v="330"/>
          </reference>
          <reference field="2" count="1">
            <x v="15"/>
          </reference>
        </references>
      </pivotArea>
    </format>
    <format dxfId="1421">
      <pivotArea dataOnly="0" labelOnly="1" fieldPosition="0">
        <references count="2">
          <reference field="1" count="1" selected="0">
            <x v="331"/>
          </reference>
          <reference field="2" count="1">
            <x v="52"/>
          </reference>
        </references>
      </pivotArea>
    </format>
    <format dxfId="1420">
      <pivotArea dataOnly="0" labelOnly="1" fieldPosition="0">
        <references count="2">
          <reference field="1" count="1" selected="0">
            <x v="332"/>
          </reference>
          <reference field="2" count="1">
            <x v="1"/>
          </reference>
        </references>
      </pivotArea>
    </format>
    <format dxfId="1419">
      <pivotArea dataOnly="0" labelOnly="1" fieldPosition="0">
        <references count="2">
          <reference field="1" count="1" selected="0">
            <x v="333"/>
          </reference>
          <reference field="2" count="1">
            <x v="87"/>
          </reference>
        </references>
      </pivotArea>
    </format>
    <format dxfId="1418">
      <pivotArea dataOnly="0" labelOnly="1" fieldPosition="0">
        <references count="2">
          <reference field="1" count="1" selected="0">
            <x v="334"/>
          </reference>
          <reference field="2" count="1">
            <x v="52"/>
          </reference>
        </references>
      </pivotArea>
    </format>
    <format dxfId="1417">
      <pivotArea dataOnly="0" labelOnly="1" fieldPosition="0">
        <references count="2">
          <reference field="1" count="1" selected="0">
            <x v="335"/>
          </reference>
          <reference field="2" count="1">
            <x v="53"/>
          </reference>
        </references>
      </pivotArea>
    </format>
    <format dxfId="1416">
      <pivotArea dataOnly="0" labelOnly="1" fieldPosition="0">
        <references count="2">
          <reference field="1" count="1" selected="0">
            <x v="336"/>
          </reference>
          <reference field="2" count="2">
            <x v="52"/>
            <x v="79"/>
          </reference>
        </references>
      </pivotArea>
    </format>
    <format dxfId="1415">
      <pivotArea dataOnly="0" labelOnly="1" fieldPosition="0">
        <references count="2">
          <reference field="1" count="1" selected="0">
            <x v="337"/>
          </reference>
          <reference field="2" count="1">
            <x v="23"/>
          </reference>
        </references>
      </pivotArea>
    </format>
    <format dxfId="1414">
      <pivotArea dataOnly="0" labelOnly="1" fieldPosition="0">
        <references count="2">
          <reference field="1" count="1" selected="0">
            <x v="338"/>
          </reference>
          <reference field="2" count="1">
            <x v="1"/>
          </reference>
        </references>
      </pivotArea>
    </format>
    <format dxfId="1413">
      <pivotArea dataOnly="0" labelOnly="1" fieldPosition="0">
        <references count="2">
          <reference field="1" count="1" selected="0">
            <x v="339"/>
          </reference>
          <reference field="2" count="1">
            <x v="1"/>
          </reference>
        </references>
      </pivotArea>
    </format>
    <format dxfId="1412">
      <pivotArea dataOnly="0" labelOnly="1" fieldPosition="0">
        <references count="2">
          <reference field="1" count="1" selected="0">
            <x v="340"/>
          </reference>
          <reference field="2" count="1">
            <x v="33"/>
          </reference>
        </references>
      </pivotArea>
    </format>
    <format dxfId="1411">
      <pivotArea dataOnly="0" labelOnly="1" fieldPosition="0">
        <references count="2">
          <reference field="1" count="1" selected="0">
            <x v="341"/>
          </reference>
          <reference field="2" count="1">
            <x v="53"/>
          </reference>
        </references>
      </pivotArea>
    </format>
    <format dxfId="1410">
      <pivotArea dataOnly="0" labelOnly="1" fieldPosition="0">
        <references count="2">
          <reference field="1" count="1" selected="0">
            <x v="342"/>
          </reference>
          <reference field="2" count="1">
            <x v="66"/>
          </reference>
        </references>
      </pivotArea>
    </format>
    <format dxfId="1409">
      <pivotArea dataOnly="0" labelOnly="1" fieldPosition="0">
        <references count="2">
          <reference field="1" count="1" selected="0">
            <x v="343"/>
          </reference>
          <reference field="2" count="1">
            <x v="66"/>
          </reference>
        </references>
      </pivotArea>
    </format>
    <format dxfId="1408">
      <pivotArea dataOnly="0" labelOnly="1" fieldPosition="0">
        <references count="2">
          <reference field="1" count="1" selected="0">
            <x v="344"/>
          </reference>
          <reference field="2" count="1">
            <x v="23"/>
          </reference>
        </references>
      </pivotArea>
    </format>
    <format dxfId="1407">
      <pivotArea dataOnly="0" labelOnly="1" fieldPosition="0">
        <references count="2">
          <reference field="1" count="1" selected="0">
            <x v="345"/>
          </reference>
          <reference field="2" count="1">
            <x v="23"/>
          </reference>
        </references>
      </pivotArea>
    </format>
    <format dxfId="1406">
      <pivotArea dataOnly="0" labelOnly="1" fieldPosition="0">
        <references count="2">
          <reference field="1" count="1" selected="0">
            <x v="346"/>
          </reference>
          <reference field="2" count="1">
            <x v="34"/>
          </reference>
        </references>
      </pivotArea>
    </format>
    <format dxfId="1405">
      <pivotArea dataOnly="0" labelOnly="1" fieldPosition="0">
        <references count="2">
          <reference field="1" count="1" selected="0">
            <x v="347"/>
          </reference>
          <reference field="2" count="1">
            <x v="66"/>
          </reference>
        </references>
      </pivotArea>
    </format>
    <format dxfId="1404">
      <pivotArea dataOnly="0" labelOnly="1" fieldPosition="0">
        <references count="2">
          <reference field="1" count="1" selected="0">
            <x v="348"/>
          </reference>
          <reference field="2" count="1">
            <x v="90"/>
          </reference>
        </references>
      </pivotArea>
    </format>
    <format dxfId="1403">
      <pivotArea dataOnly="0" labelOnly="1" fieldPosition="0">
        <references count="2">
          <reference field="1" count="1" selected="0">
            <x v="349"/>
          </reference>
          <reference field="2" count="1">
            <x v="52"/>
          </reference>
        </references>
      </pivotArea>
    </format>
    <format dxfId="1402">
      <pivotArea dataOnly="0" labelOnly="1" fieldPosition="0">
        <references count="2">
          <reference field="1" count="1" selected="0">
            <x v="350"/>
          </reference>
          <reference field="2" count="2">
            <x v="6"/>
            <x v="91"/>
          </reference>
        </references>
      </pivotArea>
    </format>
    <format dxfId="1401">
      <pivotArea dataOnly="0" labelOnly="1" fieldPosition="0">
        <references count="2">
          <reference field="1" count="1" selected="0">
            <x v="351"/>
          </reference>
          <reference field="2" count="1">
            <x v="28"/>
          </reference>
        </references>
      </pivotArea>
    </format>
    <format dxfId="1400">
      <pivotArea dataOnly="0" labelOnly="1" fieldPosition="0">
        <references count="2">
          <reference field="1" count="1" selected="0">
            <x v="352"/>
          </reference>
          <reference field="2" count="1">
            <x v="88"/>
          </reference>
        </references>
      </pivotArea>
    </format>
    <format dxfId="1399">
      <pivotArea dataOnly="0" labelOnly="1" fieldPosition="0">
        <references count="2">
          <reference field="1" count="1" selected="0">
            <x v="353"/>
          </reference>
          <reference field="2" count="1">
            <x v="1"/>
          </reference>
        </references>
      </pivotArea>
    </format>
    <format dxfId="1398">
      <pivotArea dataOnly="0" labelOnly="1" fieldPosition="0">
        <references count="2">
          <reference field="1" count="1" selected="0">
            <x v="354"/>
          </reference>
          <reference field="2" count="1">
            <x v="50"/>
          </reference>
        </references>
      </pivotArea>
    </format>
    <format dxfId="1397">
      <pivotArea dataOnly="0" labelOnly="1" fieldPosition="0">
        <references count="2">
          <reference field="1" count="1" selected="0">
            <x v="355"/>
          </reference>
          <reference field="2" count="1">
            <x v="52"/>
          </reference>
        </references>
      </pivotArea>
    </format>
    <format dxfId="1396">
      <pivotArea dataOnly="0" labelOnly="1" fieldPosition="0">
        <references count="2">
          <reference field="1" count="1" selected="0">
            <x v="356"/>
          </reference>
          <reference field="2" count="1">
            <x v="34"/>
          </reference>
        </references>
      </pivotArea>
    </format>
    <format dxfId="1395">
      <pivotArea dataOnly="0" labelOnly="1" fieldPosition="0">
        <references count="2">
          <reference field="1" count="1" selected="0">
            <x v="357"/>
          </reference>
          <reference field="2" count="1">
            <x v="73"/>
          </reference>
        </references>
      </pivotArea>
    </format>
    <format dxfId="1394">
      <pivotArea dataOnly="0" labelOnly="1" fieldPosition="0">
        <references count="2">
          <reference field="1" count="1" selected="0">
            <x v="358"/>
          </reference>
          <reference field="2" count="1">
            <x v="68"/>
          </reference>
        </references>
      </pivotArea>
    </format>
    <format dxfId="1393">
      <pivotArea dataOnly="0" labelOnly="1" fieldPosition="0">
        <references count="2">
          <reference field="1" count="1" selected="0">
            <x v="359"/>
          </reference>
          <reference field="2" count="1">
            <x v="34"/>
          </reference>
        </references>
      </pivotArea>
    </format>
    <format dxfId="1392">
      <pivotArea dataOnly="0" labelOnly="1" fieldPosition="0">
        <references count="2">
          <reference field="1" count="1" selected="0">
            <x v="360"/>
          </reference>
          <reference field="2" count="1">
            <x v="106"/>
          </reference>
        </references>
      </pivotArea>
    </format>
    <format dxfId="1391">
      <pivotArea dataOnly="0" labelOnly="1" fieldPosition="0">
        <references count="2">
          <reference field="1" count="1" selected="0">
            <x v="361"/>
          </reference>
          <reference field="2" count="1">
            <x v="52"/>
          </reference>
        </references>
      </pivotArea>
    </format>
    <format dxfId="1390">
      <pivotArea dataOnly="0" labelOnly="1" fieldPosition="0">
        <references count="2">
          <reference field="1" count="1" selected="0">
            <x v="362"/>
          </reference>
          <reference field="2" count="1">
            <x v="23"/>
          </reference>
        </references>
      </pivotArea>
    </format>
    <format dxfId="1389">
      <pivotArea dataOnly="0" labelOnly="1" fieldPosition="0">
        <references count="2">
          <reference field="1" count="1" selected="0">
            <x v="363"/>
          </reference>
          <reference field="2" count="1">
            <x v="91"/>
          </reference>
        </references>
      </pivotArea>
    </format>
    <format dxfId="1388">
      <pivotArea dataOnly="0" labelOnly="1" fieldPosition="0">
        <references count="2">
          <reference field="1" count="1" selected="0">
            <x v="364"/>
          </reference>
          <reference field="2" count="1">
            <x v="65"/>
          </reference>
        </references>
      </pivotArea>
    </format>
    <format dxfId="1387">
      <pivotArea dataOnly="0" labelOnly="1" fieldPosition="0">
        <references count="2">
          <reference field="1" count="1" selected="0">
            <x v="365"/>
          </reference>
          <reference field="2" count="1">
            <x v="52"/>
          </reference>
        </references>
      </pivotArea>
    </format>
    <format dxfId="1386">
      <pivotArea dataOnly="0" labelOnly="1" fieldPosition="0">
        <references count="2">
          <reference field="1" count="1" selected="0">
            <x v="366"/>
          </reference>
          <reference field="2" count="1">
            <x v="55"/>
          </reference>
        </references>
      </pivotArea>
    </format>
    <format dxfId="1385">
      <pivotArea dataOnly="0" labelOnly="1" fieldPosition="0">
        <references count="2">
          <reference field="1" count="1" selected="0">
            <x v="367"/>
          </reference>
          <reference field="2" count="1">
            <x v="0"/>
          </reference>
        </references>
      </pivotArea>
    </format>
    <format dxfId="1384">
      <pivotArea dataOnly="0" labelOnly="1" fieldPosition="0">
        <references count="2">
          <reference field="1" count="1" selected="0">
            <x v="368"/>
          </reference>
          <reference field="2" count="1">
            <x v="52"/>
          </reference>
        </references>
      </pivotArea>
    </format>
    <format dxfId="1383">
      <pivotArea dataOnly="0" labelOnly="1" fieldPosition="0">
        <references count="2">
          <reference field="1" count="1" selected="0">
            <x v="369"/>
          </reference>
          <reference field="2" count="1">
            <x v="86"/>
          </reference>
        </references>
      </pivotArea>
    </format>
    <format dxfId="1382">
      <pivotArea dataOnly="0" labelOnly="1" fieldPosition="0">
        <references count="2">
          <reference field="1" count="1" selected="0">
            <x v="370"/>
          </reference>
          <reference field="2" count="1">
            <x v="23"/>
          </reference>
        </references>
      </pivotArea>
    </format>
    <format dxfId="1381">
      <pivotArea dataOnly="0" labelOnly="1" fieldPosition="0">
        <references count="2">
          <reference field="1" count="1" selected="0">
            <x v="371"/>
          </reference>
          <reference field="2" count="1">
            <x v="10"/>
          </reference>
        </references>
      </pivotArea>
    </format>
    <format dxfId="1380">
      <pivotArea dataOnly="0" labelOnly="1" fieldPosition="0">
        <references count="2">
          <reference field="1" count="1" selected="0">
            <x v="372"/>
          </reference>
          <reference field="2" count="1">
            <x v="69"/>
          </reference>
        </references>
      </pivotArea>
    </format>
    <format dxfId="1379">
      <pivotArea dataOnly="0" labelOnly="1" fieldPosition="0">
        <references count="2">
          <reference field="1" count="1" selected="0">
            <x v="373"/>
          </reference>
          <reference field="2" count="1">
            <x v="52"/>
          </reference>
        </references>
      </pivotArea>
    </format>
    <format dxfId="1378">
      <pivotArea dataOnly="0" labelOnly="1" fieldPosition="0">
        <references count="2">
          <reference field="1" count="1" selected="0">
            <x v="374"/>
          </reference>
          <reference field="2" count="1">
            <x v="34"/>
          </reference>
        </references>
      </pivotArea>
    </format>
    <format dxfId="1377">
      <pivotArea dataOnly="0" labelOnly="1" fieldPosition="0">
        <references count="2">
          <reference field="1" count="1" selected="0">
            <x v="375"/>
          </reference>
          <reference field="2" count="1">
            <x v="23"/>
          </reference>
        </references>
      </pivotArea>
    </format>
    <format dxfId="1376">
      <pivotArea dataOnly="0" labelOnly="1" fieldPosition="0">
        <references count="2">
          <reference field="1" count="1" selected="0">
            <x v="376"/>
          </reference>
          <reference field="2" count="1">
            <x v="97"/>
          </reference>
        </references>
      </pivotArea>
    </format>
    <format dxfId="1375">
      <pivotArea dataOnly="0" labelOnly="1" fieldPosition="0">
        <references count="2">
          <reference field="1" count="1" selected="0">
            <x v="377"/>
          </reference>
          <reference field="2" count="1">
            <x v="89"/>
          </reference>
        </references>
      </pivotArea>
    </format>
    <format dxfId="1374">
      <pivotArea dataOnly="0" labelOnly="1" fieldPosition="0">
        <references count="2">
          <reference field="1" count="1" selected="0">
            <x v="378"/>
          </reference>
          <reference field="2" count="1">
            <x v="77"/>
          </reference>
        </references>
      </pivotArea>
    </format>
    <format dxfId="1373">
      <pivotArea dataOnly="0" labelOnly="1" fieldPosition="0">
        <references count="2">
          <reference field="1" count="1" selected="0">
            <x v="379"/>
          </reference>
          <reference field="2" count="1">
            <x v="34"/>
          </reference>
        </references>
      </pivotArea>
    </format>
    <format dxfId="1372">
      <pivotArea dataOnly="0" labelOnly="1" fieldPosition="0">
        <references count="2">
          <reference field="1" count="1" selected="0">
            <x v="380"/>
          </reference>
          <reference field="2" count="1">
            <x v="52"/>
          </reference>
        </references>
      </pivotArea>
    </format>
    <format dxfId="1371">
      <pivotArea dataOnly="0" labelOnly="1" fieldPosition="0">
        <references count="2">
          <reference field="1" count="1" selected="0">
            <x v="381"/>
          </reference>
          <reference field="2" count="1">
            <x v="0"/>
          </reference>
        </references>
      </pivotArea>
    </format>
    <format dxfId="1370">
      <pivotArea dataOnly="0" labelOnly="1" fieldPosition="0">
        <references count="2">
          <reference field="1" count="1" selected="0">
            <x v="382"/>
          </reference>
          <reference field="2" count="1">
            <x v="23"/>
          </reference>
        </references>
      </pivotArea>
    </format>
    <format dxfId="1369">
      <pivotArea dataOnly="0" labelOnly="1" fieldPosition="0">
        <references count="2">
          <reference field="1" count="1" selected="0">
            <x v="383"/>
          </reference>
          <reference field="2" count="1">
            <x v="23"/>
          </reference>
        </references>
      </pivotArea>
    </format>
    <format dxfId="1368">
      <pivotArea dataOnly="0" labelOnly="1" fieldPosition="0">
        <references count="2">
          <reference field="1" count="1" selected="0">
            <x v="384"/>
          </reference>
          <reference field="2" count="1">
            <x v="1"/>
          </reference>
        </references>
      </pivotArea>
    </format>
    <format dxfId="1367">
      <pivotArea dataOnly="0" labelOnly="1" fieldPosition="0">
        <references count="2">
          <reference field="1" count="1" selected="0">
            <x v="385"/>
          </reference>
          <reference field="2" count="1">
            <x v="34"/>
          </reference>
        </references>
      </pivotArea>
    </format>
    <format dxfId="1366">
      <pivotArea dataOnly="0" labelOnly="1" fieldPosition="0">
        <references count="2">
          <reference field="1" count="1" selected="0">
            <x v="386"/>
          </reference>
          <reference field="2" count="1">
            <x v="99"/>
          </reference>
        </references>
      </pivotArea>
    </format>
    <format dxfId="1365">
      <pivotArea dataOnly="0" labelOnly="1" fieldPosition="0">
        <references count="2">
          <reference field="1" count="1" selected="0">
            <x v="387"/>
          </reference>
          <reference field="2" count="1">
            <x v="52"/>
          </reference>
        </references>
      </pivotArea>
    </format>
    <format dxfId="1364">
      <pivotArea dataOnly="0" labelOnly="1" fieldPosition="0">
        <references count="2">
          <reference field="1" count="1" selected="0">
            <x v="388"/>
          </reference>
          <reference field="2" count="1">
            <x v="94"/>
          </reference>
        </references>
      </pivotArea>
    </format>
    <format dxfId="1363">
      <pivotArea dataOnly="0" labelOnly="1" fieldPosition="0">
        <references count="2">
          <reference field="1" count="1" selected="0">
            <x v="389"/>
          </reference>
          <reference field="2" count="1">
            <x v="52"/>
          </reference>
        </references>
      </pivotArea>
    </format>
    <format dxfId="1362">
      <pivotArea dataOnly="0" labelOnly="1" fieldPosition="0">
        <references count="2">
          <reference field="1" count="1" selected="0">
            <x v="390"/>
          </reference>
          <reference field="2" count="1">
            <x v="1"/>
          </reference>
        </references>
      </pivotArea>
    </format>
    <format dxfId="1361">
      <pivotArea dataOnly="0" labelOnly="1" fieldPosition="0">
        <references count="2">
          <reference field="1" count="1" selected="0">
            <x v="391"/>
          </reference>
          <reference field="2" count="1">
            <x v="53"/>
          </reference>
        </references>
      </pivotArea>
    </format>
    <format dxfId="1360">
      <pivotArea dataOnly="0" labelOnly="1" fieldPosition="0">
        <references count="2">
          <reference field="1" count="1" selected="0">
            <x v="392"/>
          </reference>
          <reference field="2" count="1">
            <x v="34"/>
          </reference>
        </references>
      </pivotArea>
    </format>
    <format dxfId="1359">
      <pivotArea dataOnly="0" labelOnly="1" fieldPosition="0">
        <references count="2">
          <reference field="1" count="1" selected="0">
            <x v="393"/>
          </reference>
          <reference field="2" count="1">
            <x v="53"/>
          </reference>
        </references>
      </pivotArea>
    </format>
    <format dxfId="1358">
      <pivotArea dataOnly="0" labelOnly="1" fieldPosition="0">
        <references count="2">
          <reference field="1" count="1" selected="0">
            <x v="394"/>
          </reference>
          <reference field="2" count="1">
            <x v="60"/>
          </reference>
        </references>
      </pivotArea>
    </format>
    <format dxfId="1357">
      <pivotArea dataOnly="0" labelOnly="1" fieldPosition="0">
        <references count="2">
          <reference field="1" count="1" selected="0">
            <x v="395"/>
          </reference>
          <reference field="2" count="1">
            <x v="23"/>
          </reference>
        </references>
      </pivotArea>
    </format>
    <format dxfId="1356">
      <pivotArea dataOnly="0" labelOnly="1" fieldPosition="0">
        <references count="2">
          <reference field="1" count="1" selected="0">
            <x v="396"/>
          </reference>
          <reference field="2" count="1">
            <x v="34"/>
          </reference>
        </references>
      </pivotArea>
    </format>
    <format dxfId="1355">
      <pivotArea dataOnly="0" labelOnly="1" fieldPosition="0">
        <references count="2">
          <reference field="1" count="1" selected="0">
            <x v="397"/>
          </reference>
          <reference field="2" count="1">
            <x v="52"/>
          </reference>
        </references>
      </pivotArea>
    </format>
    <format dxfId="1354">
      <pivotArea dataOnly="0" labelOnly="1" fieldPosition="0">
        <references count="2">
          <reference field="1" count="1" selected="0">
            <x v="398"/>
          </reference>
          <reference field="2" count="1">
            <x v="65"/>
          </reference>
        </references>
      </pivotArea>
    </format>
    <format dxfId="1353">
      <pivotArea dataOnly="0" labelOnly="1" fieldPosition="0">
        <references count="2">
          <reference field="1" count="1" selected="0">
            <x v="399"/>
          </reference>
          <reference field="2" count="1">
            <x v="34"/>
          </reference>
        </references>
      </pivotArea>
    </format>
    <format dxfId="1352">
      <pivotArea dataOnly="0" labelOnly="1" fieldPosition="0">
        <references count="2">
          <reference field="1" count="1" selected="0">
            <x v="400"/>
          </reference>
          <reference field="2" count="1">
            <x v="1"/>
          </reference>
        </references>
      </pivotArea>
    </format>
    <format dxfId="1351">
      <pivotArea dataOnly="0" labelOnly="1" fieldPosition="0">
        <references count="2">
          <reference field="1" count="1" selected="0">
            <x v="401"/>
          </reference>
          <reference field="2" count="1">
            <x v="70"/>
          </reference>
        </references>
      </pivotArea>
    </format>
    <format dxfId="1350">
      <pivotArea dataOnly="0" labelOnly="1" fieldPosition="0">
        <references count="2">
          <reference field="1" count="1" selected="0">
            <x v="402"/>
          </reference>
          <reference field="2" count="1">
            <x v="53"/>
          </reference>
        </references>
      </pivotArea>
    </format>
    <format dxfId="1349">
      <pivotArea dataOnly="0" labelOnly="1" fieldPosition="0">
        <references count="2">
          <reference field="1" count="1" selected="0">
            <x v="403"/>
          </reference>
          <reference field="2" count="1">
            <x v="22"/>
          </reference>
        </references>
      </pivotArea>
    </format>
    <format dxfId="1348">
      <pivotArea dataOnly="0" labelOnly="1" fieldPosition="0">
        <references count="2">
          <reference field="1" count="1" selected="0">
            <x v="404"/>
          </reference>
          <reference field="2" count="1">
            <x v="40"/>
          </reference>
        </references>
      </pivotArea>
    </format>
    <format dxfId="1347">
      <pivotArea dataOnly="0" labelOnly="1" fieldPosition="0">
        <references count="2">
          <reference field="1" count="1" selected="0">
            <x v="405"/>
          </reference>
          <reference field="2" count="1">
            <x v="52"/>
          </reference>
        </references>
      </pivotArea>
    </format>
    <format dxfId="1346">
      <pivotArea dataOnly="0" labelOnly="1" fieldPosition="0">
        <references count="2">
          <reference field="1" count="1" selected="0">
            <x v="406"/>
          </reference>
          <reference field="2" count="1">
            <x v="1"/>
          </reference>
        </references>
      </pivotArea>
    </format>
    <format dxfId="1345">
      <pivotArea dataOnly="0" labelOnly="1" fieldPosition="0">
        <references count="2">
          <reference field="1" count="1" selected="0">
            <x v="407"/>
          </reference>
          <reference field="2" count="1">
            <x v="97"/>
          </reference>
        </references>
      </pivotArea>
    </format>
    <format dxfId="1344">
      <pivotArea dataOnly="0" labelOnly="1" fieldPosition="0">
        <references count="2">
          <reference field="1" count="1" selected="0">
            <x v="408"/>
          </reference>
          <reference field="2" count="1">
            <x v="52"/>
          </reference>
        </references>
      </pivotArea>
    </format>
    <format dxfId="1343">
      <pivotArea dataOnly="0" labelOnly="1" fieldPosition="0">
        <references count="2">
          <reference field="1" count="1" selected="0">
            <x v="409"/>
          </reference>
          <reference field="2" count="1">
            <x v="52"/>
          </reference>
        </references>
      </pivotArea>
    </format>
    <format dxfId="1342">
      <pivotArea dataOnly="0" labelOnly="1" fieldPosition="0">
        <references count="2">
          <reference field="1" count="1" selected="0">
            <x v="410"/>
          </reference>
          <reference field="2" count="1">
            <x v="8"/>
          </reference>
        </references>
      </pivotArea>
    </format>
    <format dxfId="1341">
      <pivotArea dataOnly="0" labelOnly="1" fieldPosition="0">
        <references count="2">
          <reference field="1" count="1" selected="0">
            <x v="411"/>
          </reference>
          <reference field="2" count="1">
            <x v="34"/>
          </reference>
        </references>
      </pivotArea>
    </format>
    <format dxfId="1340">
      <pivotArea dataOnly="0" labelOnly="1" fieldPosition="0">
        <references count="2">
          <reference field="1" count="1" selected="0">
            <x v="412"/>
          </reference>
          <reference field="2" count="1">
            <x v="1"/>
          </reference>
        </references>
      </pivotArea>
    </format>
    <format dxfId="1339">
      <pivotArea dataOnly="0" labelOnly="1" fieldPosition="0">
        <references count="2">
          <reference field="1" count="1" selected="0">
            <x v="413"/>
          </reference>
          <reference field="2" count="1">
            <x v="83"/>
          </reference>
        </references>
      </pivotArea>
    </format>
    <format dxfId="1338">
      <pivotArea dataOnly="0" labelOnly="1" fieldPosition="0">
        <references count="2">
          <reference field="1" count="1" selected="0">
            <x v="414"/>
          </reference>
          <reference field="2" count="1">
            <x v="106"/>
          </reference>
        </references>
      </pivotArea>
    </format>
    <format dxfId="1337">
      <pivotArea dataOnly="0" labelOnly="1" fieldPosition="0">
        <references count="2">
          <reference field="1" count="1" selected="0">
            <x v="415"/>
          </reference>
          <reference field="2" count="1">
            <x v="1"/>
          </reference>
        </references>
      </pivotArea>
    </format>
    <format dxfId="1336">
      <pivotArea dataOnly="0" labelOnly="1" fieldPosition="0">
        <references count="2">
          <reference field="1" count="1" selected="0">
            <x v="416"/>
          </reference>
          <reference field="2" count="1">
            <x v="53"/>
          </reference>
        </references>
      </pivotArea>
    </format>
    <format dxfId="1335">
      <pivotArea dataOnly="0" labelOnly="1" fieldPosition="0">
        <references count="2">
          <reference field="1" count="1" selected="0">
            <x v="417"/>
          </reference>
          <reference field="2" count="1">
            <x v="79"/>
          </reference>
        </references>
      </pivotArea>
    </format>
    <format dxfId="1334">
      <pivotArea dataOnly="0" labelOnly="1" fieldPosition="0">
        <references count="2">
          <reference field="1" count="1" selected="0">
            <x v="418"/>
          </reference>
          <reference field="2" count="1">
            <x v="1"/>
          </reference>
        </references>
      </pivotArea>
    </format>
    <format dxfId="1333">
      <pivotArea dataOnly="0" labelOnly="1" fieldPosition="0">
        <references count="2">
          <reference field="1" count="1" selected="0">
            <x v="419"/>
          </reference>
          <reference field="2" count="1">
            <x v="83"/>
          </reference>
        </references>
      </pivotArea>
    </format>
    <format dxfId="1332">
      <pivotArea dataOnly="0" labelOnly="1" fieldPosition="0">
        <references count="2">
          <reference field="1" count="1" selected="0">
            <x v="420"/>
          </reference>
          <reference field="2" count="1">
            <x v="23"/>
          </reference>
        </references>
      </pivotArea>
    </format>
    <format dxfId="1331">
      <pivotArea dataOnly="0" labelOnly="1" fieldPosition="0">
        <references count="2">
          <reference field="1" count="1" selected="0">
            <x v="421"/>
          </reference>
          <reference field="2" count="1">
            <x v="3"/>
          </reference>
        </references>
      </pivotArea>
    </format>
    <format dxfId="1330">
      <pivotArea dataOnly="0" labelOnly="1" fieldPosition="0">
        <references count="2">
          <reference field="1" count="1" selected="0">
            <x v="422"/>
          </reference>
          <reference field="2" count="1">
            <x v="34"/>
          </reference>
        </references>
      </pivotArea>
    </format>
    <format dxfId="1329">
      <pivotArea dataOnly="0" labelOnly="1" fieldPosition="0">
        <references count="2">
          <reference field="1" count="1" selected="0">
            <x v="423"/>
          </reference>
          <reference field="2" count="2">
            <x v="52"/>
            <x v="78"/>
          </reference>
        </references>
      </pivotArea>
    </format>
    <format dxfId="1328">
      <pivotArea dataOnly="0" labelOnly="1" fieldPosition="0">
        <references count="2">
          <reference field="1" count="1" selected="0">
            <x v="424"/>
          </reference>
          <reference field="2" count="1">
            <x v="1"/>
          </reference>
        </references>
      </pivotArea>
    </format>
    <format dxfId="1327">
      <pivotArea dataOnly="0" labelOnly="1" fieldPosition="0">
        <references count="2">
          <reference field="1" count="1" selected="0">
            <x v="425"/>
          </reference>
          <reference field="2" count="1">
            <x v="53"/>
          </reference>
        </references>
      </pivotArea>
    </format>
    <format dxfId="1326">
      <pivotArea dataOnly="0" labelOnly="1" fieldPosition="0">
        <references count="2">
          <reference field="1" count="1" selected="0">
            <x v="426"/>
          </reference>
          <reference field="2" count="1">
            <x v="66"/>
          </reference>
        </references>
      </pivotArea>
    </format>
    <format dxfId="1325">
      <pivotArea dataOnly="0" labelOnly="1" fieldPosition="0">
        <references count="2">
          <reference field="1" count="1" selected="0">
            <x v="427"/>
          </reference>
          <reference field="2" count="1">
            <x v="97"/>
          </reference>
        </references>
      </pivotArea>
    </format>
    <format dxfId="1324">
      <pivotArea dataOnly="0" labelOnly="1" fieldPosition="0">
        <references count="2">
          <reference field="1" count="1" selected="0">
            <x v="428"/>
          </reference>
          <reference field="2" count="1">
            <x v="34"/>
          </reference>
        </references>
      </pivotArea>
    </format>
    <format dxfId="1323">
      <pivotArea dataOnly="0" labelOnly="1" fieldPosition="0">
        <references count="2">
          <reference field="1" count="1" selected="0">
            <x v="429"/>
          </reference>
          <reference field="2" count="1">
            <x v="1"/>
          </reference>
        </references>
      </pivotArea>
    </format>
    <format dxfId="1322">
      <pivotArea dataOnly="0" labelOnly="1" fieldPosition="0">
        <references count="2">
          <reference field="1" count="1" selected="0">
            <x v="430"/>
          </reference>
          <reference field="2" count="1">
            <x v="53"/>
          </reference>
        </references>
      </pivotArea>
    </format>
    <format dxfId="1321">
      <pivotArea dataOnly="0" labelOnly="1" fieldPosition="0">
        <references count="2">
          <reference field="1" count="1" selected="0">
            <x v="431"/>
          </reference>
          <reference field="2" count="1">
            <x v="53"/>
          </reference>
        </references>
      </pivotArea>
    </format>
    <format dxfId="1320">
      <pivotArea dataOnly="0" labelOnly="1" fieldPosition="0">
        <references count="2">
          <reference field="1" count="1" selected="0">
            <x v="432"/>
          </reference>
          <reference field="2" count="1">
            <x v="52"/>
          </reference>
        </references>
      </pivotArea>
    </format>
    <format dxfId="1319">
      <pivotArea dataOnly="0" labelOnly="1" fieldPosition="0">
        <references count="2">
          <reference field="1" count="1" selected="0">
            <x v="433"/>
          </reference>
          <reference field="2" count="2">
            <x v="53"/>
            <x v="91"/>
          </reference>
        </references>
      </pivotArea>
    </format>
    <format dxfId="1318">
      <pivotArea dataOnly="0" labelOnly="1" fieldPosition="0">
        <references count="2">
          <reference field="1" count="1" selected="0">
            <x v="434"/>
          </reference>
          <reference field="2" count="1">
            <x v="94"/>
          </reference>
        </references>
      </pivotArea>
    </format>
    <format dxfId="1317">
      <pivotArea dataOnly="0" labelOnly="1" fieldPosition="0">
        <references count="2">
          <reference field="1" count="1" selected="0">
            <x v="435"/>
          </reference>
          <reference field="2" count="1">
            <x v="91"/>
          </reference>
        </references>
      </pivotArea>
    </format>
    <format dxfId="1316">
      <pivotArea dataOnly="0" labelOnly="1" fieldPosition="0">
        <references count="2">
          <reference field="1" count="1" selected="0">
            <x v="436"/>
          </reference>
          <reference field="2" count="1">
            <x v="52"/>
          </reference>
        </references>
      </pivotArea>
    </format>
    <format dxfId="1315">
      <pivotArea dataOnly="0" labelOnly="1" fieldPosition="0">
        <references count="2">
          <reference field="1" count="1" selected="0">
            <x v="437"/>
          </reference>
          <reference field="2" count="1">
            <x v="34"/>
          </reference>
        </references>
      </pivotArea>
    </format>
    <format dxfId="1314">
      <pivotArea dataOnly="0" labelOnly="1" fieldPosition="0">
        <references count="2">
          <reference field="1" count="1" selected="0">
            <x v="438"/>
          </reference>
          <reference field="2" count="1">
            <x v="16"/>
          </reference>
        </references>
      </pivotArea>
    </format>
    <format dxfId="1313">
      <pivotArea dataOnly="0" labelOnly="1" fieldPosition="0">
        <references count="2">
          <reference field="1" count="1" selected="0">
            <x v="439"/>
          </reference>
          <reference field="2" count="1">
            <x v="34"/>
          </reference>
        </references>
      </pivotArea>
    </format>
    <format dxfId="1312">
      <pivotArea dataOnly="0" labelOnly="1" fieldPosition="0">
        <references count="2">
          <reference field="1" count="1" selected="0">
            <x v="440"/>
          </reference>
          <reference field="2" count="1">
            <x v="34"/>
          </reference>
        </references>
      </pivotArea>
    </format>
    <format dxfId="1311">
      <pivotArea dataOnly="0" labelOnly="1" fieldPosition="0">
        <references count="2">
          <reference field="1" count="1" selected="0">
            <x v="441"/>
          </reference>
          <reference field="2" count="1">
            <x v="52"/>
          </reference>
        </references>
      </pivotArea>
    </format>
    <format dxfId="1310">
      <pivotArea dataOnly="0" labelOnly="1" fieldPosition="0">
        <references count="2">
          <reference field="1" count="1" selected="0">
            <x v="442"/>
          </reference>
          <reference field="2" count="1">
            <x v="38"/>
          </reference>
        </references>
      </pivotArea>
    </format>
    <format dxfId="1309">
      <pivotArea dataOnly="0" labelOnly="1" fieldPosition="0">
        <references count="2">
          <reference field="1" count="1" selected="0">
            <x v="443"/>
          </reference>
          <reference field="2" count="1">
            <x v="5"/>
          </reference>
        </references>
      </pivotArea>
    </format>
    <format dxfId="1308">
      <pivotArea dataOnly="0" labelOnly="1" fieldPosition="0">
        <references count="2">
          <reference field="1" count="1" selected="0">
            <x v="444"/>
          </reference>
          <reference field="2" count="1">
            <x v="52"/>
          </reference>
        </references>
      </pivotArea>
    </format>
    <format dxfId="1307">
      <pivotArea dataOnly="0" labelOnly="1" fieldPosition="0">
        <references count="2">
          <reference field="1" count="1" selected="0">
            <x v="445"/>
          </reference>
          <reference field="2" count="1">
            <x v="3"/>
          </reference>
        </references>
      </pivotArea>
    </format>
    <format dxfId="1306">
      <pivotArea dataOnly="0" labelOnly="1" fieldPosition="0">
        <references count="2">
          <reference field="1" count="1" selected="0">
            <x v="446"/>
          </reference>
          <reference field="2" count="1">
            <x v="53"/>
          </reference>
        </references>
      </pivotArea>
    </format>
    <format dxfId="1305">
      <pivotArea dataOnly="0" labelOnly="1" fieldPosition="0">
        <references count="2">
          <reference field="1" count="1" selected="0">
            <x v="447"/>
          </reference>
          <reference field="2" count="1">
            <x v="53"/>
          </reference>
        </references>
      </pivotArea>
    </format>
    <format dxfId="1304">
      <pivotArea dataOnly="0" labelOnly="1" fieldPosition="0">
        <references count="2">
          <reference field="1" count="1" selected="0">
            <x v="448"/>
          </reference>
          <reference field="2" count="1">
            <x v="66"/>
          </reference>
        </references>
      </pivotArea>
    </format>
    <format dxfId="1303">
      <pivotArea dataOnly="0" labelOnly="1" fieldPosition="0">
        <references count="2">
          <reference field="1" count="1" selected="0">
            <x v="449"/>
          </reference>
          <reference field="2" count="1">
            <x v="30"/>
          </reference>
        </references>
      </pivotArea>
    </format>
    <format dxfId="1302">
      <pivotArea dataOnly="0" labelOnly="1" fieldPosition="0">
        <references count="2">
          <reference field="1" count="1" selected="0">
            <x v="450"/>
          </reference>
          <reference field="2" count="1">
            <x v="53"/>
          </reference>
        </references>
      </pivotArea>
    </format>
    <format dxfId="1301">
      <pivotArea dataOnly="0" labelOnly="1" fieldPosition="0">
        <references count="2">
          <reference field="1" count="1" selected="0">
            <x v="451"/>
          </reference>
          <reference field="2" count="2">
            <x v="1"/>
            <x v="25"/>
          </reference>
        </references>
      </pivotArea>
    </format>
    <format dxfId="1300">
      <pivotArea dataOnly="0" labelOnly="1" fieldPosition="0">
        <references count="2">
          <reference field="1" count="1" selected="0">
            <x v="452"/>
          </reference>
          <reference field="2" count="2">
            <x v="52"/>
            <x v="103"/>
          </reference>
        </references>
      </pivotArea>
    </format>
    <format dxfId="1299">
      <pivotArea dataOnly="0" labelOnly="1" fieldPosition="0">
        <references count="2">
          <reference field="1" count="1" selected="0">
            <x v="453"/>
          </reference>
          <reference field="2" count="1">
            <x v="53"/>
          </reference>
        </references>
      </pivotArea>
    </format>
    <format dxfId="1298">
      <pivotArea dataOnly="0" labelOnly="1" fieldPosition="0">
        <references count="2">
          <reference field="1" count="1" selected="0">
            <x v="454"/>
          </reference>
          <reference field="2" count="1">
            <x v="66"/>
          </reference>
        </references>
      </pivotArea>
    </format>
    <format dxfId="1297">
      <pivotArea dataOnly="0" labelOnly="1" fieldPosition="0">
        <references count="2">
          <reference field="1" count="1" selected="0">
            <x v="455"/>
          </reference>
          <reference field="2" count="1">
            <x v="23"/>
          </reference>
        </references>
      </pivotArea>
    </format>
    <format dxfId="1296">
      <pivotArea dataOnly="0" labelOnly="1" fieldPosition="0">
        <references count="2">
          <reference field="1" count="1" selected="0">
            <x v="456"/>
          </reference>
          <reference field="2" count="1">
            <x v="53"/>
          </reference>
        </references>
      </pivotArea>
    </format>
    <format dxfId="1295">
      <pivotArea dataOnly="0" labelOnly="1" fieldPosition="0">
        <references count="2">
          <reference field="1" count="1" selected="0">
            <x v="457"/>
          </reference>
          <reference field="2" count="1">
            <x v="84"/>
          </reference>
        </references>
      </pivotArea>
    </format>
    <format dxfId="1294">
      <pivotArea dataOnly="0" labelOnly="1" fieldPosition="0">
        <references count="2">
          <reference field="1" count="1" selected="0">
            <x v="458"/>
          </reference>
          <reference field="2" count="1">
            <x v="53"/>
          </reference>
        </references>
      </pivotArea>
    </format>
    <format dxfId="1293">
      <pivotArea dataOnly="0" labelOnly="1" fieldPosition="0">
        <references count="2">
          <reference field="1" count="1" selected="0">
            <x v="459"/>
          </reference>
          <reference field="2" count="1">
            <x v="38"/>
          </reference>
        </references>
      </pivotArea>
    </format>
    <format dxfId="1292">
      <pivotArea dataOnly="0" labelOnly="1" fieldPosition="0">
        <references count="2">
          <reference field="1" count="1" selected="0">
            <x v="460"/>
          </reference>
          <reference field="2" count="1">
            <x v="52"/>
          </reference>
        </references>
      </pivotArea>
    </format>
    <format dxfId="1291">
      <pivotArea dataOnly="0" labelOnly="1" fieldPosition="0">
        <references count="2">
          <reference field="1" count="1" selected="0">
            <x v="461"/>
          </reference>
          <reference field="2" count="1">
            <x v="73"/>
          </reference>
        </references>
      </pivotArea>
    </format>
    <format dxfId="1290">
      <pivotArea dataOnly="0" labelOnly="1" fieldPosition="0">
        <references count="2">
          <reference field="1" count="1" selected="0">
            <x v="462"/>
          </reference>
          <reference field="2" count="1">
            <x v="65"/>
          </reference>
        </references>
      </pivotArea>
    </format>
    <format dxfId="1289">
      <pivotArea dataOnly="0" labelOnly="1" fieldPosition="0">
        <references count="2">
          <reference field="1" count="1" selected="0">
            <x v="463"/>
          </reference>
          <reference field="2" count="1">
            <x v="52"/>
          </reference>
        </references>
      </pivotArea>
    </format>
    <format dxfId="1288">
      <pivotArea dataOnly="0" labelOnly="1" fieldPosition="0">
        <references count="2">
          <reference field="1" count="1" selected="0">
            <x v="464"/>
          </reference>
          <reference field="2" count="1">
            <x v="52"/>
          </reference>
        </references>
      </pivotArea>
    </format>
    <format dxfId="1287">
      <pivotArea dataOnly="0" labelOnly="1" fieldPosition="0">
        <references count="2">
          <reference field="1" count="1" selected="0">
            <x v="465"/>
          </reference>
          <reference field="2" count="1">
            <x v="87"/>
          </reference>
        </references>
      </pivotArea>
    </format>
    <format dxfId="1286">
      <pivotArea dataOnly="0" labelOnly="1" fieldPosition="0">
        <references count="2">
          <reference field="1" count="1" selected="0">
            <x v="466"/>
          </reference>
          <reference field="2" count="1">
            <x v="52"/>
          </reference>
        </references>
      </pivotArea>
    </format>
    <format dxfId="1285">
      <pivotArea dataOnly="0" labelOnly="1" fieldPosition="0">
        <references count="2">
          <reference field="1" count="1" selected="0">
            <x v="467"/>
          </reference>
          <reference field="2" count="1">
            <x v="58"/>
          </reference>
        </references>
      </pivotArea>
    </format>
    <format dxfId="1284">
      <pivotArea dataOnly="0" labelOnly="1" fieldPosition="0">
        <references count="2">
          <reference field="1" count="1" selected="0">
            <x v="468"/>
          </reference>
          <reference field="2" count="1">
            <x v="42"/>
          </reference>
        </references>
      </pivotArea>
    </format>
    <format dxfId="1283">
      <pivotArea dataOnly="0" labelOnly="1" fieldPosition="0">
        <references count="2">
          <reference field="1" count="1" selected="0">
            <x v="469"/>
          </reference>
          <reference field="2" count="1">
            <x v="1"/>
          </reference>
        </references>
      </pivotArea>
    </format>
    <format dxfId="1282">
      <pivotArea dataOnly="0" labelOnly="1" fieldPosition="0">
        <references count="2">
          <reference field="1" count="1" selected="0">
            <x v="470"/>
          </reference>
          <reference field="2" count="1">
            <x v="23"/>
          </reference>
        </references>
      </pivotArea>
    </format>
    <format dxfId="1281">
      <pivotArea dataOnly="0" labelOnly="1" fieldPosition="0">
        <references count="2">
          <reference field="1" count="1" selected="0">
            <x v="471"/>
          </reference>
          <reference field="2" count="1">
            <x v="13"/>
          </reference>
        </references>
      </pivotArea>
    </format>
    <format dxfId="1280">
      <pivotArea dataOnly="0" labelOnly="1" fieldPosition="0">
        <references count="2">
          <reference field="1" count="1" selected="0">
            <x v="472"/>
          </reference>
          <reference field="2" count="1">
            <x v="52"/>
          </reference>
        </references>
      </pivotArea>
    </format>
    <format dxfId="1279">
      <pivotArea dataOnly="0" labelOnly="1" fieldPosition="0">
        <references count="2">
          <reference field="1" count="1" selected="0">
            <x v="473"/>
          </reference>
          <reference field="2" count="1">
            <x v="83"/>
          </reference>
        </references>
      </pivotArea>
    </format>
    <format dxfId="1278">
      <pivotArea dataOnly="0" labelOnly="1" fieldPosition="0">
        <references count="2">
          <reference field="1" count="1" selected="0">
            <x v="474"/>
          </reference>
          <reference field="2" count="1">
            <x v="73"/>
          </reference>
        </references>
      </pivotArea>
    </format>
    <format dxfId="1277">
      <pivotArea dataOnly="0" labelOnly="1" fieldPosition="0">
        <references count="2">
          <reference field="1" count="1" selected="0">
            <x v="475"/>
          </reference>
          <reference field="2" count="1">
            <x v="1"/>
          </reference>
        </references>
      </pivotArea>
    </format>
    <format dxfId="1276">
      <pivotArea dataOnly="0" labelOnly="1" fieldPosition="0">
        <references count="2">
          <reference field="1" count="1" selected="0">
            <x v="476"/>
          </reference>
          <reference field="2" count="1">
            <x v="52"/>
          </reference>
        </references>
      </pivotArea>
    </format>
    <format dxfId="1275">
      <pivotArea dataOnly="0" labelOnly="1" fieldPosition="0">
        <references count="2">
          <reference field="1" count="1" selected="0">
            <x v="477"/>
          </reference>
          <reference field="2" count="1">
            <x v="52"/>
          </reference>
        </references>
      </pivotArea>
    </format>
    <format dxfId="1274">
      <pivotArea dataOnly="0" labelOnly="1" fieldPosition="0">
        <references count="2">
          <reference field="1" count="1" selected="0">
            <x v="478"/>
          </reference>
          <reference field="2" count="1">
            <x v="34"/>
          </reference>
        </references>
      </pivotArea>
    </format>
    <format dxfId="1273">
      <pivotArea dataOnly="0" labelOnly="1" fieldPosition="0">
        <references count="2">
          <reference field="1" count="1" selected="0">
            <x v="479"/>
          </reference>
          <reference field="2" count="1">
            <x v="47"/>
          </reference>
        </references>
      </pivotArea>
    </format>
    <format dxfId="1272">
      <pivotArea dataOnly="0" labelOnly="1" fieldPosition="0">
        <references count="2">
          <reference field="1" count="1" selected="0">
            <x v="480"/>
          </reference>
          <reference field="2" count="1">
            <x v="1"/>
          </reference>
        </references>
      </pivotArea>
    </format>
    <format dxfId="1271">
      <pivotArea dataOnly="0" labelOnly="1" fieldPosition="0">
        <references count="2">
          <reference field="1" count="1" selected="0">
            <x v="481"/>
          </reference>
          <reference field="2" count="1">
            <x v="86"/>
          </reference>
        </references>
      </pivotArea>
    </format>
    <format dxfId="1270">
      <pivotArea dataOnly="0" labelOnly="1" fieldPosition="0">
        <references count="2">
          <reference field="1" count="1" selected="0">
            <x v="482"/>
          </reference>
          <reference field="2" count="1">
            <x v="52"/>
          </reference>
        </references>
      </pivotArea>
    </format>
    <format dxfId="1269">
      <pivotArea dataOnly="0" labelOnly="1" fieldPosition="0">
        <references count="2">
          <reference field="1" count="1" selected="0">
            <x v="483"/>
          </reference>
          <reference field="2" count="1">
            <x v="18"/>
          </reference>
        </references>
      </pivotArea>
    </format>
    <format dxfId="1268">
      <pivotArea dataOnly="0" labelOnly="1" fieldPosition="0">
        <references count="2">
          <reference field="1" count="1" selected="0">
            <x v="484"/>
          </reference>
          <reference field="2" count="1">
            <x v="55"/>
          </reference>
        </references>
      </pivotArea>
    </format>
    <format dxfId="1267">
      <pivotArea dataOnly="0" labelOnly="1" fieldPosition="0">
        <references count="2">
          <reference field="1" count="1" selected="0">
            <x v="485"/>
          </reference>
          <reference field="2" count="1">
            <x v="23"/>
          </reference>
        </references>
      </pivotArea>
    </format>
    <format dxfId="1266">
      <pivotArea dataOnly="0" labelOnly="1" fieldPosition="0">
        <references count="2">
          <reference field="1" count="1" selected="0">
            <x v="486"/>
          </reference>
          <reference field="2" count="1">
            <x v="86"/>
          </reference>
        </references>
      </pivotArea>
    </format>
    <format dxfId="1265">
      <pivotArea dataOnly="0" labelOnly="1" fieldPosition="0">
        <references count="2">
          <reference field="1" count="1" selected="0">
            <x v="487"/>
          </reference>
          <reference field="2" count="1">
            <x v="68"/>
          </reference>
        </references>
      </pivotArea>
    </format>
    <format dxfId="1264">
      <pivotArea dataOnly="0" labelOnly="1" fieldPosition="0">
        <references count="2">
          <reference field="1" count="1" selected="0">
            <x v="488"/>
          </reference>
          <reference field="2" count="1">
            <x v="66"/>
          </reference>
        </references>
      </pivotArea>
    </format>
    <format dxfId="1263">
      <pivotArea dataOnly="0" labelOnly="1" fieldPosition="0">
        <references count="2">
          <reference field="1" count="1" selected="0">
            <x v="489"/>
          </reference>
          <reference field="2" count="1">
            <x v="52"/>
          </reference>
        </references>
      </pivotArea>
    </format>
    <format dxfId="1262">
      <pivotArea dataOnly="0" labelOnly="1" fieldPosition="0">
        <references count="2">
          <reference field="1" count="1" selected="0">
            <x v="490"/>
          </reference>
          <reference field="2" count="1">
            <x v="34"/>
          </reference>
        </references>
      </pivotArea>
    </format>
    <format dxfId="1261">
      <pivotArea dataOnly="0" labelOnly="1" fieldPosition="0">
        <references count="2">
          <reference field="1" count="1" selected="0">
            <x v="491"/>
          </reference>
          <reference field="2" count="1">
            <x v="23"/>
          </reference>
        </references>
      </pivotArea>
    </format>
    <format dxfId="1260">
      <pivotArea dataOnly="0" labelOnly="1" fieldPosition="0">
        <references count="2">
          <reference field="1" count="1" selected="0">
            <x v="492"/>
          </reference>
          <reference field="2" count="1">
            <x v="90"/>
          </reference>
        </references>
      </pivotArea>
    </format>
    <format dxfId="1259">
      <pivotArea dataOnly="0" labelOnly="1" fieldPosition="0">
        <references count="2">
          <reference field="1" count="1" selected="0">
            <x v="493"/>
          </reference>
          <reference field="2" count="1">
            <x v="34"/>
          </reference>
        </references>
      </pivotArea>
    </format>
    <format dxfId="1258">
      <pivotArea dataOnly="0" labelOnly="1" fieldPosition="0">
        <references count="2">
          <reference field="1" count="1" selected="0">
            <x v="494"/>
          </reference>
          <reference field="2" count="1">
            <x v="23"/>
          </reference>
        </references>
      </pivotArea>
    </format>
    <format dxfId="1257">
      <pivotArea dataOnly="0" labelOnly="1" fieldPosition="0">
        <references count="2">
          <reference field="1" count="1" selected="0">
            <x v="495"/>
          </reference>
          <reference field="2" count="1">
            <x v="90"/>
          </reference>
        </references>
      </pivotArea>
    </format>
    <format dxfId="1256">
      <pivotArea dataOnly="0" labelOnly="1" fieldPosition="0">
        <references count="2">
          <reference field="1" count="1" selected="0">
            <x v="496"/>
          </reference>
          <reference field="2" count="1">
            <x v="34"/>
          </reference>
        </references>
      </pivotArea>
    </format>
    <format dxfId="1255">
      <pivotArea dataOnly="0" labelOnly="1" fieldPosition="0">
        <references count="2">
          <reference field="1" count="1" selected="0">
            <x v="497"/>
          </reference>
          <reference field="2" count="1">
            <x v="51"/>
          </reference>
        </references>
      </pivotArea>
    </format>
    <format dxfId="1254">
      <pivotArea dataOnly="0" labelOnly="1" fieldPosition="0">
        <references count="2">
          <reference field="1" count="1" selected="0">
            <x v="498"/>
          </reference>
          <reference field="2" count="1">
            <x v="23"/>
          </reference>
        </references>
      </pivotArea>
    </format>
    <format dxfId="1253">
      <pivotArea dataOnly="0" labelOnly="1" fieldPosition="0">
        <references count="2">
          <reference field="1" count="1" selected="0">
            <x v="499"/>
          </reference>
          <reference field="2" count="1">
            <x v="34"/>
          </reference>
        </references>
      </pivotArea>
    </format>
    <format dxfId="1252">
      <pivotArea dataOnly="0" labelOnly="1" fieldPosition="0">
        <references count="2">
          <reference field="1" count="1" selected="0">
            <x v="500"/>
          </reference>
          <reference field="2" count="1">
            <x v="52"/>
          </reference>
        </references>
      </pivotArea>
    </format>
    <format dxfId="1251">
      <pivotArea dataOnly="0" labelOnly="1" fieldPosition="0">
        <references count="2">
          <reference field="1" count="1" selected="0">
            <x v="501"/>
          </reference>
          <reference field="2" count="1">
            <x v="90"/>
          </reference>
        </references>
      </pivotArea>
    </format>
    <format dxfId="1250">
      <pivotArea dataOnly="0" labelOnly="1" fieldPosition="0">
        <references count="2">
          <reference field="1" count="1" selected="0">
            <x v="502"/>
          </reference>
          <reference field="2" count="1">
            <x v="52"/>
          </reference>
        </references>
      </pivotArea>
    </format>
    <format dxfId="1249">
      <pivotArea dataOnly="0" labelOnly="1" fieldPosition="0">
        <references count="2">
          <reference field="1" count="1" selected="0">
            <x v="503"/>
          </reference>
          <reference field="2" count="1">
            <x v="99"/>
          </reference>
        </references>
      </pivotArea>
    </format>
    <format dxfId="1248">
      <pivotArea dataOnly="0" labelOnly="1" fieldPosition="0">
        <references count="2">
          <reference field="1" count="1" selected="0">
            <x v="504"/>
          </reference>
          <reference field="2" count="1">
            <x v="23"/>
          </reference>
        </references>
      </pivotArea>
    </format>
    <format dxfId="1247">
      <pivotArea dataOnly="0" labelOnly="1" fieldPosition="0">
        <references count="2">
          <reference field="1" count="1" selected="0">
            <x v="505"/>
          </reference>
          <reference field="2" count="1">
            <x v="53"/>
          </reference>
        </references>
      </pivotArea>
    </format>
    <format dxfId="1246">
      <pivotArea dataOnly="0" labelOnly="1" fieldPosition="0">
        <references count="2">
          <reference field="1" count="1" selected="0">
            <x v="506"/>
          </reference>
          <reference field="2" count="1">
            <x v="50"/>
          </reference>
        </references>
      </pivotArea>
    </format>
    <format dxfId="1245">
      <pivotArea dataOnly="0" labelOnly="1" fieldPosition="0">
        <references count="2">
          <reference field="1" count="1" selected="0">
            <x v="507"/>
          </reference>
          <reference field="2" count="1">
            <x v="34"/>
          </reference>
        </references>
      </pivotArea>
    </format>
    <format dxfId="1244">
      <pivotArea dataOnly="0" labelOnly="1" fieldPosition="0">
        <references count="2">
          <reference field="1" count="1" selected="0">
            <x v="508"/>
          </reference>
          <reference field="2" count="1">
            <x v="52"/>
          </reference>
        </references>
      </pivotArea>
    </format>
    <format dxfId="1243">
      <pivotArea dataOnly="0" labelOnly="1" fieldPosition="0">
        <references count="2">
          <reference field="1" count="1" selected="0">
            <x v="509"/>
          </reference>
          <reference field="2" count="1">
            <x v="23"/>
          </reference>
        </references>
      </pivotArea>
    </format>
    <format dxfId="1242">
      <pivotArea dataOnly="0" labelOnly="1" fieldPosition="0">
        <references count="2">
          <reference field="1" count="1" selected="0">
            <x v="510"/>
          </reference>
          <reference field="2" count="1">
            <x v="52"/>
          </reference>
        </references>
      </pivotArea>
    </format>
    <format dxfId="1241">
      <pivotArea dataOnly="0" labelOnly="1" fieldPosition="0">
        <references count="2">
          <reference field="1" count="1" selected="0">
            <x v="511"/>
          </reference>
          <reference field="2" count="1">
            <x v="52"/>
          </reference>
        </references>
      </pivotArea>
    </format>
    <format dxfId="1240">
      <pivotArea dataOnly="0" labelOnly="1" fieldPosition="0">
        <references count="2">
          <reference field="1" count="1" selected="0">
            <x v="512"/>
          </reference>
          <reference field="2" count="1">
            <x v="29"/>
          </reference>
        </references>
      </pivotArea>
    </format>
    <format dxfId="1239">
      <pivotArea dataOnly="0" labelOnly="1" fieldPosition="0">
        <references count="2">
          <reference field="1" count="1" selected="0">
            <x v="513"/>
          </reference>
          <reference field="2" count="1">
            <x v="52"/>
          </reference>
        </references>
      </pivotArea>
    </format>
    <format dxfId="1238">
      <pivotArea dataOnly="0" labelOnly="1" fieldPosition="0">
        <references count="2">
          <reference field="1" count="1" selected="0">
            <x v="514"/>
          </reference>
          <reference field="2" count="1">
            <x v="71"/>
          </reference>
        </references>
      </pivotArea>
    </format>
    <format dxfId="1237">
      <pivotArea dataOnly="0" labelOnly="1" fieldPosition="0">
        <references count="2">
          <reference field="1" count="1" selected="0">
            <x v="515"/>
          </reference>
          <reference field="2" count="1">
            <x v="1"/>
          </reference>
        </references>
      </pivotArea>
    </format>
    <format dxfId="1236">
      <pivotArea dataOnly="0" labelOnly="1" fieldPosition="0">
        <references count="2">
          <reference field="1" count="1" selected="0">
            <x v="516"/>
          </reference>
          <reference field="2" count="1">
            <x v="66"/>
          </reference>
        </references>
      </pivotArea>
    </format>
    <format dxfId="1235">
      <pivotArea dataOnly="0" labelOnly="1" fieldPosition="0">
        <references count="2">
          <reference field="1" count="1" selected="0">
            <x v="517"/>
          </reference>
          <reference field="2" count="1">
            <x v="53"/>
          </reference>
        </references>
      </pivotArea>
    </format>
    <format dxfId="1234">
      <pivotArea dataOnly="0" labelOnly="1" fieldPosition="0">
        <references count="2">
          <reference field="1" count="1" selected="0">
            <x v="518"/>
          </reference>
          <reference field="2" count="1">
            <x v="34"/>
          </reference>
        </references>
      </pivotArea>
    </format>
    <format dxfId="1233">
      <pivotArea dataOnly="0" labelOnly="1" fieldPosition="0">
        <references count="2">
          <reference field="1" count="1" selected="0">
            <x v="519"/>
          </reference>
          <reference field="2" count="1">
            <x v="12"/>
          </reference>
        </references>
      </pivotArea>
    </format>
    <format dxfId="1232">
      <pivotArea dataOnly="0" labelOnly="1" fieldPosition="0">
        <references count="2">
          <reference field="1" count="1" selected="0">
            <x v="520"/>
          </reference>
          <reference field="2" count="1">
            <x v="85"/>
          </reference>
        </references>
      </pivotArea>
    </format>
    <format dxfId="1231">
      <pivotArea dataOnly="0" labelOnly="1" fieldPosition="0">
        <references count="2">
          <reference field="1" count="1" selected="0">
            <x v="521"/>
          </reference>
          <reference field="2" count="1">
            <x v="41"/>
          </reference>
        </references>
      </pivotArea>
    </format>
    <format dxfId="1230">
      <pivotArea dataOnly="0" labelOnly="1" fieldPosition="0">
        <references count="2">
          <reference field="1" count="1" selected="0">
            <x v="522"/>
          </reference>
          <reference field="2" count="1">
            <x v="41"/>
          </reference>
        </references>
      </pivotArea>
    </format>
    <format dxfId="1229">
      <pivotArea dataOnly="0" labelOnly="1" fieldPosition="0">
        <references count="2">
          <reference field="1" count="1" selected="0">
            <x v="523"/>
          </reference>
          <reference field="2" count="1">
            <x v="41"/>
          </reference>
        </references>
      </pivotArea>
    </format>
    <format dxfId="1228">
      <pivotArea dataOnly="0" labelOnly="1" fieldPosition="0">
        <references count="2">
          <reference field="1" count="1" selected="0">
            <x v="524"/>
          </reference>
          <reference field="2" count="1">
            <x v="52"/>
          </reference>
        </references>
      </pivotArea>
    </format>
    <format dxfId="1227">
      <pivotArea dataOnly="0" labelOnly="1" fieldPosition="0">
        <references count="2">
          <reference field="1" count="1" selected="0">
            <x v="525"/>
          </reference>
          <reference field="2" count="1">
            <x v="34"/>
          </reference>
        </references>
      </pivotArea>
    </format>
    <format dxfId="1226">
      <pivotArea dataOnly="0" labelOnly="1" fieldPosition="0">
        <references count="2">
          <reference field="1" count="1" selected="0">
            <x v="526"/>
          </reference>
          <reference field="2" count="1">
            <x v="66"/>
          </reference>
        </references>
      </pivotArea>
    </format>
    <format dxfId="1225">
      <pivotArea dataOnly="0" labelOnly="1" fieldPosition="0">
        <references count="2">
          <reference field="1" count="1" selected="0">
            <x v="527"/>
          </reference>
          <reference field="2" count="1">
            <x v="52"/>
          </reference>
        </references>
      </pivotArea>
    </format>
    <format dxfId="1224">
      <pivotArea dataOnly="0" labelOnly="1" fieldPosition="0">
        <references count="2">
          <reference field="1" count="1" selected="0">
            <x v="528"/>
          </reference>
          <reference field="2" count="1">
            <x v="52"/>
          </reference>
        </references>
      </pivotArea>
    </format>
    <format dxfId="1223">
      <pivotArea dataOnly="0" labelOnly="1" fieldPosition="0">
        <references count="2">
          <reference field="1" count="1" selected="0">
            <x v="529"/>
          </reference>
          <reference field="2" count="1">
            <x v="73"/>
          </reference>
        </references>
      </pivotArea>
    </format>
    <format dxfId="1222">
      <pivotArea dataOnly="0" labelOnly="1" fieldPosition="0">
        <references count="2">
          <reference field="1" count="1" selected="0">
            <x v="530"/>
          </reference>
          <reference field="2" count="1">
            <x v="91"/>
          </reference>
        </references>
      </pivotArea>
    </format>
    <format dxfId="1221">
      <pivotArea dataOnly="0" labelOnly="1" fieldPosition="0">
        <references count="2">
          <reference field="1" count="1" selected="0">
            <x v="531"/>
          </reference>
          <reference field="2" count="1">
            <x v="1"/>
          </reference>
        </references>
      </pivotArea>
    </format>
    <format dxfId="1220">
      <pivotArea dataOnly="0" labelOnly="1" fieldPosition="0">
        <references count="2">
          <reference field="1" count="1" selected="0">
            <x v="532"/>
          </reference>
          <reference field="2" count="1">
            <x v="56"/>
          </reference>
        </references>
      </pivotArea>
    </format>
    <format dxfId="1219">
      <pivotArea dataOnly="0" labelOnly="1" fieldPosition="0">
        <references count="2">
          <reference field="1" count="1" selected="0">
            <x v="533"/>
          </reference>
          <reference field="2" count="1">
            <x v="44"/>
          </reference>
        </references>
      </pivotArea>
    </format>
    <format dxfId="1218">
      <pivotArea dataOnly="0" labelOnly="1" fieldPosition="0">
        <references count="2">
          <reference field="1" count="1" selected="0">
            <x v="534"/>
          </reference>
          <reference field="2" count="1">
            <x v="54"/>
          </reference>
        </references>
      </pivotArea>
    </format>
    <format dxfId="1217">
      <pivotArea dataOnly="0" labelOnly="1" fieldPosition="0">
        <references count="2">
          <reference field="1" count="1" selected="0">
            <x v="535"/>
          </reference>
          <reference field="2" count="1">
            <x v="91"/>
          </reference>
        </references>
      </pivotArea>
    </format>
    <format dxfId="1216">
      <pivotArea dataOnly="0" labelOnly="1" fieldPosition="0">
        <references count="2">
          <reference field="1" count="1" selected="0">
            <x v="536"/>
          </reference>
          <reference field="2" count="1">
            <x v="9"/>
          </reference>
        </references>
      </pivotArea>
    </format>
    <format dxfId="1215">
      <pivotArea dataOnly="0" labelOnly="1" fieldPosition="0">
        <references count="2">
          <reference field="1" count="1" selected="0">
            <x v="537"/>
          </reference>
          <reference field="2" count="1">
            <x v="86"/>
          </reference>
        </references>
      </pivotArea>
    </format>
    <format dxfId="1214">
      <pivotArea dataOnly="0" labelOnly="1" fieldPosition="0">
        <references count="2">
          <reference field="1" count="1" selected="0">
            <x v="538"/>
          </reference>
          <reference field="2" count="2">
            <x v="1"/>
            <x v="12"/>
          </reference>
        </references>
      </pivotArea>
    </format>
    <format dxfId="1213">
      <pivotArea dataOnly="0" labelOnly="1" fieldPosition="0">
        <references count="2">
          <reference field="1" count="1" selected="0">
            <x v="539"/>
          </reference>
          <reference field="2" count="1">
            <x v="102"/>
          </reference>
        </references>
      </pivotArea>
    </format>
    <format dxfId="1212">
      <pivotArea dataOnly="0" labelOnly="1" fieldPosition="0">
        <references count="2">
          <reference field="1" count="1" selected="0">
            <x v="540"/>
          </reference>
          <reference field="2" count="1">
            <x v="53"/>
          </reference>
        </references>
      </pivotArea>
    </format>
    <format dxfId="1211">
      <pivotArea dataOnly="0" labelOnly="1" fieldPosition="0">
        <references count="2">
          <reference field="1" count="1" selected="0">
            <x v="541"/>
          </reference>
          <reference field="2" count="1">
            <x v="34"/>
          </reference>
        </references>
      </pivotArea>
    </format>
    <format dxfId="1210">
      <pivotArea dataOnly="0" labelOnly="1" fieldPosition="0">
        <references count="2">
          <reference field="1" count="1" selected="0">
            <x v="542"/>
          </reference>
          <reference field="2" count="1">
            <x v="23"/>
          </reference>
        </references>
      </pivotArea>
    </format>
    <format dxfId="1209">
      <pivotArea dataOnly="0" labelOnly="1" fieldPosition="0">
        <references count="2">
          <reference field="1" count="1" selected="0">
            <x v="543"/>
          </reference>
          <reference field="2" count="1">
            <x v="38"/>
          </reference>
        </references>
      </pivotArea>
    </format>
    <format dxfId="1208">
      <pivotArea dataOnly="0" labelOnly="1" fieldPosition="0">
        <references count="2">
          <reference field="1" count="1" selected="0">
            <x v="544"/>
          </reference>
          <reference field="2" count="1">
            <x v="53"/>
          </reference>
        </references>
      </pivotArea>
    </format>
    <format dxfId="1207">
      <pivotArea dataOnly="0" labelOnly="1" fieldPosition="0">
        <references count="2">
          <reference field="1" count="1" selected="0">
            <x v="545"/>
          </reference>
          <reference field="2" count="1">
            <x v="34"/>
          </reference>
        </references>
      </pivotArea>
    </format>
    <format dxfId="1206">
      <pivotArea dataOnly="0" labelOnly="1" fieldPosition="0">
        <references count="2">
          <reference field="1" count="1" selected="0">
            <x v="546"/>
          </reference>
          <reference field="2" count="1">
            <x v="52"/>
          </reference>
        </references>
      </pivotArea>
    </format>
    <format dxfId="1205">
      <pivotArea dataOnly="0" labelOnly="1" fieldPosition="0">
        <references count="2">
          <reference field="1" count="1" selected="0">
            <x v="547"/>
          </reference>
          <reference field="2" count="1">
            <x v="1"/>
          </reference>
        </references>
      </pivotArea>
    </format>
    <format dxfId="1204">
      <pivotArea dataOnly="0" labelOnly="1" fieldPosition="0">
        <references count="2">
          <reference field="1" count="1" selected="0">
            <x v="548"/>
          </reference>
          <reference field="2" count="1">
            <x v="1"/>
          </reference>
        </references>
      </pivotArea>
    </format>
    <format dxfId="1203">
      <pivotArea dataOnly="0" labelOnly="1" fieldPosition="0">
        <references count="2">
          <reference field="1" count="1" selected="0">
            <x v="549"/>
          </reference>
          <reference field="2" count="1">
            <x v="52"/>
          </reference>
        </references>
      </pivotArea>
    </format>
    <format dxfId="1202">
      <pivotArea dataOnly="0" labelOnly="1" fieldPosition="0">
        <references count="2">
          <reference field="1" count="1" selected="0">
            <x v="550"/>
          </reference>
          <reference field="2" count="1">
            <x v="73"/>
          </reference>
        </references>
      </pivotArea>
    </format>
    <format dxfId="1201">
      <pivotArea dataOnly="0" labelOnly="1" fieldPosition="0">
        <references count="2">
          <reference field="1" count="1" selected="0">
            <x v="551"/>
          </reference>
          <reference field="2" count="1">
            <x v="23"/>
          </reference>
        </references>
      </pivotArea>
    </format>
    <format dxfId="1200">
      <pivotArea dataOnly="0" labelOnly="1" fieldPosition="0">
        <references count="2">
          <reference field="1" count="1" selected="0">
            <x v="552"/>
          </reference>
          <reference field="2" count="1">
            <x v="88"/>
          </reference>
        </references>
      </pivotArea>
    </format>
    <format dxfId="1199">
      <pivotArea dataOnly="0" labelOnly="1" fieldPosition="0">
        <references count="2">
          <reference field="1" count="1" selected="0">
            <x v="553"/>
          </reference>
          <reference field="2" count="1">
            <x v="23"/>
          </reference>
        </references>
      </pivotArea>
    </format>
    <format dxfId="1198">
      <pivotArea dataOnly="0" labelOnly="1" fieldPosition="0">
        <references count="2">
          <reference field="1" count="1" selected="0">
            <x v="554"/>
          </reference>
          <reference field="2" count="1">
            <x v="57"/>
          </reference>
        </references>
      </pivotArea>
    </format>
    <format dxfId="1197">
      <pivotArea dataOnly="0" labelOnly="1" fieldPosition="0">
        <references count="2">
          <reference field="1" count="1" selected="0">
            <x v="555"/>
          </reference>
          <reference field="2" count="1">
            <x v="1"/>
          </reference>
        </references>
      </pivotArea>
    </format>
    <format dxfId="1196">
      <pivotArea dataOnly="0" labelOnly="1" fieldPosition="0">
        <references count="2">
          <reference field="1" count="1" selected="0">
            <x v="556"/>
          </reference>
          <reference field="2" count="1">
            <x v="99"/>
          </reference>
        </references>
      </pivotArea>
    </format>
    <format dxfId="1195">
      <pivotArea dataOnly="0" labelOnly="1" fieldPosition="0">
        <references count="2">
          <reference field="1" count="1" selected="0">
            <x v="557"/>
          </reference>
          <reference field="2" count="1">
            <x v="91"/>
          </reference>
        </references>
      </pivotArea>
    </format>
    <format dxfId="1194">
      <pivotArea dataOnly="0" labelOnly="1" fieldPosition="0">
        <references count="2">
          <reference field="1" count="1" selected="0">
            <x v="558"/>
          </reference>
          <reference field="2" count="1">
            <x v="23"/>
          </reference>
        </references>
      </pivotArea>
    </format>
    <format dxfId="1193">
      <pivotArea dataOnly="0" labelOnly="1" fieldPosition="0">
        <references count="2">
          <reference field="1" count="1" selected="0">
            <x v="559"/>
          </reference>
          <reference field="2" count="1">
            <x v="49"/>
          </reference>
        </references>
      </pivotArea>
    </format>
    <format dxfId="1192">
      <pivotArea dataOnly="0" labelOnly="1" fieldPosition="0">
        <references count="2">
          <reference field="1" count="1" selected="0">
            <x v="560"/>
          </reference>
          <reference field="2" count="1">
            <x v="52"/>
          </reference>
        </references>
      </pivotArea>
    </format>
    <format dxfId="1191">
      <pivotArea dataOnly="0" labelOnly="1" fieldPosition="0">
        <references count="2">
          <reference field="1" count="1" selected="0">
            <x v="561"/>
          </reference>
          <reference field="2" count="1">
            <x v="44"/>
          </reference>
        </references>
      </pivotArea>
    </format>
    <format dxfId="1190">
      <pivotArea dataOnly="0" labelOnly="1" fieldPosition="0">
        <references count="2">
          <reference field="1" count="1" selected="0">
            <x v="562"/>
          </reference>
          <reference field="2" count="1">
            <x v="21"/>
          </reference>
        </references>
      </pivotArea>
    </format>
    <format dxfId="1189">
      <pivotArea dataOnly="0" labelOnly="1" fieldPosition="0">
        <references count="2">
          <reference field="1" count="1" selected="0">
            <x v="563"/>
          </reference>
          <reference field="2" count="1">
            <x v="15"/>
          </reference>
        </references>
      </pivotArea>
    </format>
    <format dxfId="1188">
      <pivotArea dataOnly="0" labelOnly="1" fieldPosition="0">
        <references count="2">
          <reference field="1" count="1" selected="0">
            <x v="564"/>
          </reference>
          <reference field="2" count="1">
            <x v="34"/>
          </reference>
        </references>
      </pivotArea>
    </format>
    <format dxfId="1187">
      <pivotArea dataOnly="0" labelOnly="1" fieldPosition="0">
        <references count="2">
          <reference field="1" count="1" selected="0">
            <x v="565"/>
          </reference>
          <reference field="2" count="1">
            <x v="80"/>
          </reference>
        </references>
      </pivotArea>
    </format>
    <format dxfId="1186">
      <pivotArea dataOnly="0" labelOnly="1" fieldPosition="0">
        <references count="2">
          <reference field="1" count="1" selected="0">
            <x v="566"/>
          </reference>
          <reference field="2" count="1">
            <x v="97"/>
          </reference>
        </references>
      </pivotArea>
    </format>
    <format dxfId="1185">
      <pivotArea dataOnly="0" labelOnly="1" fieldPosition="0">
        <references count="2">
          <reference field="1" count="1" selected="0">
            <x v="567"/>
          </reference>
          <reference field="2" count="1">
            <x v="23"/>
          </reference>
        </references>
      </pivotArea>
    </format>
    <format dxfId="1184">
      <pivotArea dataOnly="0" labelOnly="1" fieldPosition="0">
        <references count="2">
          <reference field="1" count="1" selected="0">
            <x v="568"/>
          </reference>
          <reference field="2" count="1">
            <x v="53"/>
          </reference>
        </references>
      </pivotArea>
    </format>
    <format dxfId="1183">
      <pivotArea dataOnly="0" labelOnly="1" fieldPosition="0">
        <references count="2">
          <reference field="1" count="1" selected="0">
            <x v="569"/>
          </reference>
          <reference field="2" count="1">
            <x v="1"/>
          </reference>
        </references>
      </pivotArea>
    </format>
    <format dxfId="1182">
      <pivotArea dataOnly="0" labelOnly="1" fieldPosition="0">
        <references count="2">
          <reference field="1" count="1" selected="0">
            <x v="570"/>
          </reference>
          <reference field="2" count="1">
            <x v="91"/>
          </reference>
        </references>
      </pivotArea>
    </format>
    <format dxfId="1181">
      <pivotArea dataOnly="0" labelOnly="1" fieldPosition="0">
        <references count="2">
          <reference field="1" count="1" selected="0">
            <x v="571"/>
          </reference>
          <reference field="2" count="1">
            <x v="34"/>
          </reference>
        </references>
      </pivotArea>
    </format>
    <format dxfId="1180">
      <pivotArea dataOnly="0" labelOnly="1" fieldPosition="0">
        <references count="2">
          <reference field="1" count="1" selected="0">
            <x v="572"/>
          </reference>
          <reference field="2" count="1">
            <x v="52"/>
          </reference>
        </references>
      </pivotArea>
    </format>
    <format dxfId="1179">
      <pivotArea dataOnly="0" labelOnly="1" fieldPosition="0">
        <references count="2">
          <reference field="1" count="1" selected="0">
            <x v="573"/>
          </reference>
          <reference field="2" count="1">
            <x v="48"/>
          </reference>
        </references>
      </pivotArea>
    </format>
    <format dxfId="1178">
      <pivotArea dataOnly="0" labelOnly="1" fieldPosition="0">
        <references count="2">
          <reference field="1" count="1" selected="0">
            <x v="574"/>
          </reference>
          <reference field="2" count="1">
            <x v="23"/>
          </reference>
        </references>
      </pivotArea>
    </format>
    <format dxfId="1177">
      <pivotArea dataOnly="0" labelOnly="1" fieldPosition="0">
        <references count="2">
          <reference field="1" count="1" selected="0">
            <x v="575"/>
          </reference>
          <reference field="2" count="1">
            <x v="34"/>
          </reference>
        </references>
      </pivotArea>
    </format>
    <format dxfId="1176">
      <pivotArea dataOnly="0" labelOnly="1" fieldPosition="0">
        <references count="2">
          <reference field="1" count="1" selected="0">
            <x v="576"/>
          </reference>
          <reference field="2" count="1">
            <x v="8"/>
          </reference>
        </references>
      </pivotArea>
    </format>
    <format dxfId="1175">
      <pivotArea dataOnly="0" labelOnly="1" fieldPosition="0">
        <references count="2">
          <reference field="1" count="1" selected="0">
            <x v="577"/>
          </reference>
          <reference field="2" count="1">
            <x v="1"/>
          </reference>
        </references>
      </pivotArea>
    </format>
    <format dxfId="1174">
      <pivotArea dataOnly="0" labelOnly="1" fieldPosition="0">
        <references count="2">
          <reference field="1" count="1" selected="0">
            <x v="578"/>
          </reference>
          <reference field="2" count="1">
            <x v="52"/>
          </reference>
        </references>
      </pivotArea>
    </format>
    <format dxfId="1173">
      <pivotArea dataOnly="0" labelOnly="1" fieldPosition="0">
        <references count="2">
          <reference field="1" count="1" selected="0">
            <x v="579"/>
          </reference>
          <reference field="2" count="1">
            <x v="1"/>
          </reference>
        </references>
      </pivotArea>
    </format>
    <format dxfId="1172">
      <pivotArea dataOnly="0" labelOnly="1" fieldPosition="0">
        <references count="2">
          <reference field="1" count="1" selected="0">
            <x v="580"/>
          </reference>
          <reference field="2" count="1">
            <x v="23"/>
          </reference>
        </references>
      </pivotArea>
    </format>
    <format dxfId="1171">
      <pivotArea dataOnly="0" labelOnly="1" fieldPosition="0">
        <references count="2">
          <reference field="1" count="1" selected="0">
            <x v="581"/>
          </reference>
          <reference field="2" count="1">
            <x v="6"/>
          </reference>
        </references>
      </pivotArea>
    </format>
    <format dxfId="1170">
      <pivotArea dataOnly="0" labelOnly="1" fieldPosition="0">
        <references count="2">
          <reference field="1" count="1" selected="0">
            <x v="582"/>
          </reference>
          <reference field="2" count="1">
            <x v="18"/>
          </reference>
        </references>
      </pivotArea>
    </format>
    <format dxfId="1169">
      <pivotArea dataOnly="0" labelOnly="1" fieldPosition="0">
        <references count="2">
          <reference field="1" count="1" selected="0">
            <x v="583"/>
          </reference>
          <reference field="2" count="1">
            <x v="38"/>
          </reference>
        </references>
      </pivotArea>
    </format>
    <format dxfId="1168">
      <pivotArea dataOnly="0" labelOnly="1" fieldPosition="0">
        <references count="2">
          <reference field="1" count="1" selected="0">
            <x v="584"/>
          </reference>
          <reference field="2" count="1">
            <x v="86"/>
          </reference>
        </references>
      </pivotArea>
    </format>
    <format dxfId="1167">
      <pivotArea dataOnly="0" labelOnly="1" fieldPosition="0">
        <references count="2">
          <reference field="1" count="1" selected="0">
            <x v="585"/>
          </reference>
          <reference field="2" count="1">
            <x v="63"/>
          </reference>
        </references>
      </pivotArea>
    </format>
    <format dxfId="1166">
      <pivotArea dataOnly="0" labelOnly="1" fieldPosition="0">
        <references count="2">
          <reference field="1" count="1" selected="0">
            <x v="586"/>
          </reference>
          <reference field="2" count="1">
            <x v="23"/>
          </reference>
        </references>
      </pivotArea>
    </format>
    <format dxfId="1165">
      <pivotArea dataOnly="0" labelOnly="1" fieldPosition="0">
        <references count="2">
          <reference field="1" count="1" selected="0">
            <x v="587"/>
          </reference>
          <reference field="2" count="1">
            <x v="96"/>
          </reference>
        </references>
      </pivotArea>
    </format>
    <format dxfId="1164">
      <pivotArea dataOnly="0" labelOnly="1" fieldPosition="0">
        <references count="2">
          <reference field="1" count="1" selected="0">
            <x v="588"/>
          </reference>
          <reference field="2" count="1">
            <x v="53"/>
          </reference>
        </references>
      </pivotArea>
    </format>
    <format dxfId="1163">
      <pivotArea dataOnly="0" labelOnly="1" fieldPosition="0">
        <references count="2">
          <reference field="1" count="1" selected="0">
            <x v="589"/>
          </reference>
          <reference field="2" count="1">
            <x v="1"/>
          </reference>
        </references>
      </pivotArea>
    </format>
    <format dxfId="1162">
      <pivotArea dataOnly="0" labelOnly="1" fieldPosition="0">
        <references count="2">
          <reference field="1" count="1" selected="0">
            <x v="590"/>
          </reference>
          <reference field="2" count="1">
            <x v="53"/>
          </reference>
        </references>
      </pivotArea>
    </format>
    <format dxfId="1161">
      <pivotArea dataOnly="0" labelOnly="1" fieldPosition="0">
        <references count="2">
          <reference field="1" count="1" selected="0">
            <x v="591"/>
          </reference>
          <reference field="2" count="1">
            <x v="23"/>
          </reference>
        </references>
      </pivotArea>
    </format>
    <format dxfId="1160">
      <pivotArea dataOnly="0" labelOnly="1" fieldPosition="0">
        <references count="2">
          <reference field="1" count="1" selected="0">
            <x v="592"/>
          </reference>
          <reference field="2" count="1">
            <x v="23"/>
          </reference>
        </references>
      </pivotArea>
    </format>
    <format dxfId="1159">
      <pivotArea dataOnly="0" labelOnly="1" fieldPosition="0">
        <references count="2">
          <reference field="1" count="1" selected="0">
            <x v="593"/>
          </reference>
          <reference field="2" count="1">
            <x v="64"/>
          </reference>
        </references>
      </pivotArea>
    </format>
    <format dxfId="1158">
      <pivotArea dataOnly="0" labelOnly="1" fieldPosition="0">
        <references count="2">
          <reference field="1" count="1" selected="0">
            <x v="594"/>
          </reference>
          <reference field="2" count="1">
            <x v="52"/>
          </reference>
        </references>
      </pivotArea>
    </format>
    <format dxfId="1157">
      <pivotArea dataOnly="0" labelOnly="1" fieldPosition="0">
        <references count="2">
          <reference field="1" count="1" selected="0">
            <x v="595"/>
          </reference>
          <reference field="2" count="1">
            <x v="2"/>
          </reference>
        </references>
      </pivotArea>
    </format>
    <format dxfId="1156">
      <pivotArea dataOnly="0" labelOnly="1" fieldPosition="0">
        <references count="2">
          <reference field="1" count="1" selected="0">
            <x v="596"/>
          </reference>
          <reference field="2" count="1">
            <x v="52"/>
          </reference>
        </references>
      </pivotArea>
    </format>
    <format dxfId="1155">
      <pivotArea dataOnly="0" labelOnly="1" fieldPosition="0">
        <references count="2">
          <reference field="1" count="1" selected="0">
            <x v="597"/>
          </reference>
          <reference field="2" count="1">
            <x v="8"/>
          </reference>
        </references>
      </pivotArea>
    </format>
    <format dxfId="1154">
      <pivotArea dataOnly="0" labelOnly="1" fieldPosition="0">
        <references count="2">
          <reference field="1" count="1" selected="0">
            <x v="598"/>
          </reference>
          <reference field="2" count="1">
            <x v="1"/>
          </reference>
        </references>
      </pivotArea>
    </format>
    <format dxfId="1153">
      <pivotArea dataOnly="0" labelOnly="1" fieldPosition="0">
        <references count="2">
          <reference field="1" count="1" selected="0">
            <x v="599"/>
          </reference>
          <reference field="2" count="2">
            <x v="53"/>
            <x v="73"/>
          </reference>
        </references>
      </pivotArea>
    </format>
    <format dxfId="1152">
      <pivotArea dataOnly="0" labelOnly="1" fieldPosition="0">
        <references count="2">
          <reference field="1" count="1" selected="0">
            <x v="600"/>
          </reference>
          <reference field="2" count="1">
            <x v="23"/>
          </reference>
        </references>
      </pivotArea>
    </format>
    <format dxfId="1151">
      <pivotArea dataOnly="0" labelOnly="1" fieldPosition="0">
        <references count="2">
          <reference field="1" count="1" selected="0">
            <x v="601"/>
          </reference>
          <reference field="2" count="1">
            <x v="101"/>
          </reference>
        </references>
      </pivotArea>
    </format>
    <format dxfId="1150">
      <pivotArea dataOnly="0" labelOnly="1" fieldPosition="0">
        <references count="2">
          <reference field="1" count="1" selected="0">
            <x v="602"/>
          </reference>
          <reference field="2" count="1">
            <x v="8"/>
          </reference>
        </references>
      </pivotArea>
    </format>
    <format dxfId="1149">
      <pivotArea dataOnly="0" labelOnly="1" fieldPosition="0">
        <references count="2">
          <reference field="1" count="1" selected="0">
            <x v="603"/>
          </reference>
          <reference field="2" count="1">
            <x v="1"/>
          </reference>
        </references>
      </pivotArea>
    </format>
    <format dxfId="1148">
      <pivotArea dataOnly="0" labelOnly="1" fieldPosition="0">
        <references count="2">
          <reference field="1" count="1" selected="0">
            <x v="604"/>
          </reference>
          <reference field="2" count="1">
            <x v="73"/>
          </reference>
        </references>
      </pivotArea>
    </format>
    <format dxfId="1147">
      <pivotArea dataOnly="0" labelOnly="1" fieldPosition="0">
        <references count="2">
          <reference field="1" count="1" selected="0">
            <x v="605"/>
          </reference>
          <reference field="2" count="1">
            <x v="52"/>
          </reference>
        </references>
      </pivotArea>
    </format>
    <format dxfId="1146">
      <pivotArea dataOnly="0" labelOnly="1" fieldPosition="0">
        <references count="2">
          <reference field="1" count="1" selected="0">
            <x v="606"/>
          </reference>
          <reference field="2" count="1">
            <x v="52"/>
          </reference>
        </references>
      </pivotArea>
    </format>
    <format dxfId="1145">
      <pivotArea dataOnly="0" labelOnly="1" fieldPosition="0">
        <references count="2">
          <reference field="1" count="1" selected="0">
            <x v="607"/>
          </reference>
          <reference field="2" count="1">
            <x v="53"/>
          </reference>
        </references>
      </pivotArea>
    </format>
    <format dxfId="1144">
      <pivotArea dataOnly="0" labelOnly="1" fieldPosition="0">
        <references count="2">
          <reference field="1" count="1" selected="0">
            <x v="608"/>
          </reference>
          <reference field="2" count="1">
            <x v="1"/>
          </reference>
        </references>
      </pivotArea>
    </format>
    <format dxfId="1143">
      <pivotArea dataOnly="0" labelOnly="1" fieldPosition="0">
        <references count="2">
          <reference field="1" count="1" selected="0">
            <x v="609"/>
          </reference>
          <reference field="2" count="1">
            <x v="1"/>
          </reference>
        </references>
      </pivotArea>
    </format>
    <format dxfId="1142">
      <pivotArea dataOnly="0" labelOnly="1" fieldPosition="0">
        <references count="2">
          <reference field="1" count="1" selected="0">
            <x v="610"/>
          </reference>
          <reference field="2" count="1">
            <x v="34"/>
          </reference>
        </references>
      </pivotArea>
    </format>
    <format dxfId="1141">
      <pivotArea dataOnly="0" labelOnly="1" fieldPosition="0">
        <references count="2">
          <reference field="1" count="1" selected="0">
            <x v="611"/>
          </reference>
          <reference field="2" count="1">
            <x v="53"/>
          </reference>
        </references>
      </pivotArea>
    </format>
    <format dxfId="1140">
      <pivotArea dataOnly="0" labelOnly="1" fieldPosition="0">
        <references count="2">
          <reference field="1" count="1" selected="0">
            <x v="612"/>
          </reference>
          <reference field="2" count="1">
            <x v="53"/>
          </reference>
        </references>
      </pivotArea>
    </format>
    <format dxfId="1139">
      <pivotArea dataOnly="0" labelOnly="1" fieldPosition="0">
        <references count="2">
          <reference field="1" count="1" selected="0">
            <x v="613"/>
          </reference>
          <reference field="2" count="1">
            <x v="52"/>
          </reference>
        </references>
      </pivotArea>
    </format>
    <format dxfId="1138">
      <pivotArea dataOnly="0" labelOnly="1" fieldPosition="0">
        <references count="2">
          <reference field="1" count="1" selected="0">
            <x v="614"/>
          </reference>
          <reference field="2" count="1">
            <x v="106"/>
          </reference>
        </references>
      </pivotArea>
    </format>
    <format dxfId="1137">
      <pivotArea dataOnly="0" labelOnly="1" fieldPosition="0">
        <references count="2">
          <reference field="1" count="1" selected="0">
            <x v="615"/>
          </reference>
          <reference field="2" count="1">
            <x v="38"/>
          </reference>
        </references>
      </pivotArea>
    </format>
    <format dxfId="1136">
      <pivotArea dataOnly="0" labelOnly="1" fieldPosition="0">
        <references count="2">
          <reference field="1" count="1" selected="0">
            <x v="616"/>
          </reference>
          <reference field="2" count="2">
            <x v="1"/>
            <x v="90"/>
          </reference>
        </references>
      </pivotArea>
    </format>
    <format dxfId="1135">
      <pivotArea dataOnly="0" labelOnly="1" fieldPosition="0">
        <references count="2">
          <reference field="1" count="1" selected="0">
            <x v="617"/>
          </reference>
          <reference field="2" count="1">
            <x v="52"/>
          </reference>
        </references>
      </pivotArea>
    </format>
    <format dxfId="1134">
      <pivotArea dataOnly="0" labelOnly="1" fieldPosition="0">
        <references count="2">
          <reference field="1" count="1" selected="0">
            <x v="618"/>
          </reference>
          <reference field="2" count="1">
            <x v="34"/>
          </reference>
        </references>
      </pivotArea>
    </format>
    <format dxfId="1133">
      <pivotArea dataOnly="0" labelOnly="1" fieldPosition="0">
        <references count="2">
          <reference field="1" count="1" selected="0">
            <x v="619"/>
          </reference>
          <reference field="2" count="1">
            <x v="23"/>
          </reference>
        </references>
      </pivotArea>
    </format>
    <format dxfId="1132">
      <pivotArea dataOnly="0" labelOnly="1" fieldPosition="0">
        <references count="2">
          <reference field="1" count="1" selected="0">
            <x v="620"/>
          </reference>
          <reference field="2" count="1">
            <x v="23"/>
          </reference>
        </references>
      </pivotArea>
    </format>
    <format dxfId="1131">
      <pivotArea dataOnly="0" labelOnly="1" fieldPosition="0">
        <references count="2">
          <reference field="1" count="1" selected="0">
            <x v="621"/>
          </reference>
          <reference field="2" count="1">
            <x v="34"/>
          </reference>
        </references>
      </pivotArea>
    </format>
    <format dxfId="1130">
      <pivotArea dataOnly="0" labelOnly="1" fieldPosition="0">
        <references count="2">
          <reference field="1" count="1" selected="0">
            <x v="622"/>
          </reference>
          <reference field="2" count="1">
            <x v="52"/>
          </reference>
        </references>
      </pivotArea>
    </format>
    <format dxfId="1129">
      <pivotArea dataOnly="0" labelOnly="1" fieldPosition="0">
        <references count="2">
          <reference field="1" count="1" selected="0">
            <x v="623"/>
          </reference>
          <reference field="2" count="1">
            <x v="34"/>
          </reference>
        </references>
      </pivotArea>
    </format>
    <format dxfId="1128">
      <pivotArea dataOnly="0" labelOnly="1" fieldPosition="0">
        <references count="2">
          <reference field="1" count="1" selected="0">
            <x v="624"/>
          </reference>
          <reference field="2" count="1">
            <x v="8"/>
          </reference>
        </references>
      </pivotArea>
    </format>
    <format dxfId="1127">
      <pivotArea dataOnly="0" labelOnly="1" fieldPosition="0">
        <references count="2">
          <reference field="1" count="1" selected="0">
            <x v="625"/>
          </reference>
          <reference field="2" count="1">
            <x v="19"/>
          </reference>
        </references>
      </pivotArea>
    </format>
    <format dxfId="1126">
      <pivotArea dataOnly="0" labelOnly="1" fieldPosition="0">
        <references count="2">
          <reference field="1" count="1" selected="0">
            <x v="626"/>
          </reference>
          <reference field="2" count="1">
            <x v="1"/>
          </reference>
        </references>
      </pivotArea>
    </format>
    <format dxfId="1125">
      <pivotArea dataOnly="0" labelOnly="1" fieldPosition="0">
        <references count="2">
          <reference field="1" count="1" selected="0">
            <x v="627"/>
          </reference>
          <reference field="2" count="1">
            <x v="8"/>
          </reference>
        </references>
      </pivotArea>
    </format>
    <format dxfId="1124">
      <pivotArea dataOnly="0" labelOnly="1" fieldPosition="0">
        <references count="2">
          <reference field="1" count="1" selected="0">
            <x v="628"/>
          </reference>
          <reference field="2" count="1">
            <x v="95"/>
          </reference>
        </references>
      </pivotArea>
    </format>
    <format dxfId="1123">
      <pivotArea dataOnly="0" labelOnly="1" fieldPosition="0">
        <references count="2">
          <reference field="1" count="1" selected="0">
            <x v="629"/>
          </reference>
          <reference field="2" count="1">
            <x v="52"/>
          </reference>
        </references>
      </pivotArea>
    </format>
    <format dxfId="1122">
      <pivotArea dataOnly="0" labelOnly="1" fieldPosition="0">
        <references count="2">
          <reference field="1" count="1" selected="0">
            <x v="630"/>
          </reference>
          <reference field="2" count="1">
            <x v="52"/>
          </reference>
        </references>
      </pivotArea>
    </format>
    <format dxfId="1121">
      <pivotArea dataOnly="0" labelOnly="1" fieldPosition="0">
        <references count="2">
          <reference field="1" count="1" selected="0">
            <x v="631"/>
          </reference>
          <reference field="2" count="2">
            <x v="23"/>
            <x v="73"/>
          </reference>
        </references>
      </pivotArea>
    </format>
    <format dxfId="1120">
      <pivotArea dataOnly="0" labelOnly="1" fieldPosition="0">
        <references count="2">
          <reference field="1" count="1" selected="0">
            <x v="632"/>
          </reference>
          <reference field="2" count="1">
            <x v="75"/>
          </reference>
        </references>
      </pivotArea>
    </format>
    <format dxfId="1119">
      <pivotArea dataOnly="0" labelOnly="1" fieldPosition="0">
        <references count="2">
          <reference field="1" count="1" selected="0">
            <x v="633"/>
          </reference>
          <reference field="2" count="1">
            <x v="86"/>
          </reference>
        </references>
      </pivotArea>
    </format>
    <format dxfId="1118">
      <pivotArea dataOnly="0" labelOnly="1" fieldPosition="0">
        <references count="2">
          <reference field="1" count="1" selected="0">
            <x v="634"/>
          </reference>
          <reference field="2" count="1">
            <x v="73"/>
          </reference>
        </references>
      </pivotArea>
    </format>
    <format dxfId="1117">
      <pivotArea dataOnly="0" labelOnly="1" fieldPosition="0">
        <references count="2">
          <reference field="1" count="1" selected="0">
            <x v="635"/>
          </reference>
          <reference field="2" count="1">
            <x v="34"/>
          </reference>
        </references>
      </pivotArea>
    </format>
    <format dxfId="1116">
      <pivotArea dataOnly="0" labelOnly="1" fieldPosition="0">
        <references count="2">
          <reference field="1" count="1" selected="0">
            <x v="636"/>
          </reference>
          <reference field="2" count="1">
            <x v="7"/>
          </reference>
        </references>
      </pivotArea>
    </format>
    <format dxfId="1115">
      <pivotArea dataOnly="0" labelOnly="1" fieldPosition="0">
        <references count="2">
          <reference field="1" count="1" selected="0">
            <x v="637"/>
          </reference>
          <reference field="2" count="1">
            <x v="1"/>
          </reference>
        </references>
      </pivotArea>
    </format>
    <format dxfId="1114">
      <pivotArea dataOnly="0" labelOnly="1" fieldPosition="0">
        <references count="2">
          <reference field="1" count="1" selected="0">
            <x v="638"/>
          </reference>
          <reference field="2" count="1">
            <x v="52"/>
          </reference>
        </references>
      </pivotArea>
    </format>
    <format dxfId="1113">
      <pivotArea dataOnly="0" labelOnly="1" fieldPosition="0">
        <references count="2">
          <reference field="1" count="1" selected="0">
            <x v="639"/>
          </reference>
          <reference field="2" count="1">
            <x v="52"/>
          </reference>
        </references>
      </pivotArea>
    </format>
    <format dxfId="1112">
      <pivotArea dataOnly="0" labelOnly="1" fieldPosition="0">
        <references count="2">
          <reference field="1" count="1" selected="0">
            <x v="640"/>
          </reference>
          <reference field="2" count="1">
            <x v="52"/>
          </reference>
        </references>
      </pivotArea>
    </format>
    <format dxfId="1111">
      <pivotArea dataOnly="0" labelOnly="1" fieldPosition="0">
        <references count="2">
          <reference field="1" count="1" selected="0">
            <x v="641"/>
          </reference>
          <reference field="2" count="1">
            <x v="52"/>
          </reference>
        </references>
      </pivotArea>
    </format>
    <format dxfId="1110">
      <pivotArea dataOnly="0" labelOnly="1" fieldPosition="0">
        <references count="2">
          <reference field="1" count="1" selected="0">
            <x v="642"/>
          </reference>
          <reference field="2" count="1">
            <x v="1"/>
          </reference>
        </references>
      </pivotArea>
    </format>
    <format dxfId="1109">
      <pivotArea dataOnly="0" labelOnly="1" fieldPosition="0">
        <references count="2">
          <reference field="1" count="1" selected="0">
            <x v="643"/>
          </reference>
          <reference field="2" count="1">
            <x v="53"/>
          </reference>
        </references>
      </pivotArea>
    </format>
    <format dxfId="1108">
      <pivotArea dataOnly="0" labelOnly="1" fieldPosition="0">
        <references count="2">
          <reference field="1" count="1" selected="0">
            <x v="644"/>
          </reference>
          <reference field="2" count="1">
            <x v="52"/>
          </reference>
        </references>
      </pivotArea>
    </format>
    <format dxfId="1107">
      <pivotArea dataOnly="0" labelOnly="1" fieldPosition="0">
        <references count="2">
          <reference field="1" count="1" selected="0">
            <x v="645"/>
          </reference>
          <reference field="2" count="1">
            <x v="100"/>
          </reference>
        </references>
      </pivotArea>
    </format>
    <format dxfId="1106">
      <pivotArea dataOnly="0" labelOnly="1" fieldPosition="0">
        <references count="2">
          <reference field="1" count="1" selected="0">
            <x v="646"/>
          </reference>
          <reference field="2" count="1">
            <x v="23"/>
          </reference>
        </references>
      </pivotArea>
    </format>
    <format dxfId="1105">
      <pivotArea dataOnly="0" labelOnly="1" fieldPosition="0">
        <references count="2">
          <reference field="1" count="1" selected="0">
            <x v="647"/>
          </reference>
          <reference field="2" count="1">
            <x v="53"/>
          </reference>
        </references>
      </pivotArea>
    </format>
    <format dxfId="1104">
      <pivotArea dataOnly="0" labelOnly="1" fieldPosition="0">
        <references count="2">
          <reference field="1" count="1" selected="0">
            <x v="648"/>
          </reference>
          <reference field="2" count="1">
            <x v="1"/>
          </reference>
        </references>
      </pivotArea>
    </format>
    <format dxfId="1103">
      <pivotArea dataOnly="0" labelOnly="1" fieldPosition="0">
        <references count="2">
          <reference field="1" count="1" selected="0">
            <x v="649"/>
          </reference>
          <reference field="2" count="1">
            <x v="73"/>
          </reference>
        </references>
      </pivotArea>
    </format>
    <format dxfId="1102">
      <pivotArea dataOnly="0" labelOnly="1" fieldPosition="0">
        <references count="2">
          <reference field="1" count="1" selected="0">
            <x v="650"/>
          </reference>
          <reference field="2" count="1">
            <x v="52"/>
          </reference>
        </references>
      </pivotArea>
    </format>
    <format dxfId="1101">
      <pivotArea dataOnly="0" labelOnly="1" fieldPosition="0">
        <references count="2">
          <reference field="1" count="1" selected="0">
            <x v="651"/>
          </reference>
          <reference field="2" count="1">
            <x v="105"/>
          </reference>
        </references>
      </pivotArea>
    </format>
    <format dxfId="1100">
      <pivotArea dataOnly="0" labelOnly="1" fieldPosition="0">
        <references count="2">
          <reference field="1" count="1" selected="0">
            <x v="652"/>
          </reference>
          <reference field="2" count="1">
            <x v="91"/>
          </reference>
        </references>
      </pivotArea>
    </format>
    <format dxfId="1099">
      <pivotArea dataOnly="0" labelOnly="1" fieldPosition="0">
        <references count="2">
          <reference field="1" count="1" selected="0">
            <x v="653"/>
          </reference>
          <reference field="2" count="1">
            <x v="52"/>
          </reference>
        </references>
      </pivotArea>
    </format>
    <format dxfId="1098">
      <pivotArea dataOnly="0" labelOnly="1" fieldPosition="0">
        <references count="2">
          <reference field="1" count="1" selected="0">
            <x v="654"/>
          </reference>
          <reference field="2" count="1">
            <x v="65"/>
          </reference>
        </references>
      </pivotArea>
    </format>
    <format dxfId="1097">
      <pivotArea dataOnly="0" labelOnly="1" fieldPosition="0">
        <references count="2">
          <reference field="1" count="1" selected="0">
            <x v="655"/>
          </reference>
          <reference field="2" count="1">
            <x v="53"/>
          </reference>
        </references>
      </pivotArea>
    </format>
    <format dxfId="1096">
      <pivotArea dataOnly="0" labelOnly="1" fieldPosition="0">
        <references count="2">
          <reference field="1" count="1" selected="0">
            <x v="656"/>
          </reference>
          <reference field="2" count="1">
            <x v="1"/>
          </reference>
        </references>
      </pivotArea>
    </format>
    <format dxfId="1095">
      <pivotArea dataOnly="0" labelOnly="1" fieldPosition="0">
        <references count="2">
          <reference field="1" count="1" selected="0">
            <x v="657"/>
          </reference>
          <reference field="2" count="1">
            <x v="6"/>
          </reference>
        </references>
      </pivotArea>
    </format>
    <format dxfId="1094">
      <pivotArea dataOnly="0" labelOnly="1" fieldPosition="0">
        <references count="2">
          <reference field="1" count="1" selected="0">
            <x v="658"/>
          </reference>
          <reference field="2" count="1">
            <x v="54"/>
          </reference>
        </references>
      </pivotArea>
    </format>
    <format dxfId="1093">
      <pivotArea dataOnly="0" labelOnly="1" fieldPosition="0">
        <references count="2">
          <reference field="1" count="1" selected="0">
            <x v="659"/>
          </reference>
          <reference field="2" count="1">
            <x v="20"/>
          </reference>
        </references>
      </pivotArea>
    </format>
    <format dxfId="1092">
      <pivotArea dataOnly="0" labelOnly="1" fieldPosition="0">
        <references count="2">
          <reference field="1" count="1" selected="0">
            <x v="660"/>
          </reference>
          <reference field="2" count="1">
            <x v="29"/>
          </reference>
        </references>
      </pivotArea>
    </format>
    <format dxfId="1091">
      <pivotArea dataOnly="0" labelOnly="1" fieldPosition="0">
        <references count="2">
          <reference field="1" count="1" selected="0">
            <x v="661"/>
          </reference>
          <reference field="2" count="1">
            <x v="12"/>
          </reference>
        </references>
      </pivotArea>
    </format>
    <format dxfId="1090">
      <pivotArea dataOnly="0" labelOnly="1" fieldPosition="0">
        <references count="2">
          <reference field="1" count="1" selected="0">
            <x v="662"/>
          </reference>
          <reference field="2" count="1">
            <x v="52"/>
          </reference>
        </references>
      </pivotArea>
    </format>
    <format dxfId="1089">
      <pivotArea dataOnly="0" labelOnly="1" fieldPosition="0">
        <references count="2">
          <reference field="1" count="1" selected="0">
            <x v="663"/>
          </reference>
          <reference field="2" count="1">
            <x v="91"/>
          </reference>
        </references>
      </pivotArea>
    </format>
    <format dxfId="1088">
      <pivotArea dataOnly="0" labelOnly="1" fieldPosition="0">
        <references count="2">
          <reference field="1" count="1" selected="0">
            <x v="664"/>
          </reference>
          <reference field="2" count="1">
            <x v="91"/>
          </reference>
        </references>
      </pivotArea>
    </format>
    <format dxfId="1087">
      <pivotArea dataOnly="0" labelOnly="1" fieldPosition="0">
        <references count="2">
          <reference field="1" count="1" selected="0">
            <x v="665"/>
          </reference>
          <reference field="2" count="1">
            <x v="52"/>
          </reference>
        </references>
      </pivotArea>
    </format>
    <format dxfId="1086">
      <pivotArea dataOnly="0" labelOnly="1" fieldPosition="0">
        <references count="2">
          <reference field="1" count="1" selected="0">
            <x v="666"/>
          </reference>
          <reference field="2" count="1">
            <x v="23"/>
          </reference>
        </references>
      </pivotArea>
    </format>
    <format dxfId="1085">
      <pivotArea dataOnly="0" labelOnly="1" fieldPosition="0">
        <references count="2">
          <reference field="1" count="1" selected="0">
            <x v="667"/>
          </reference>
          <reference field="2" count="1">
            <x v="52"/>
          </reference>
        </references>
      </pivotArea>
    </format>
    <format dxfId="1084">
      <pivotArea dataOnly="0" labelOnly="1" outline="0" fieldPosition="0">
        <references count="1">
          <reference field="4294967294" count="2">
            <x v="0"/>
            <x v="1"/>
          </reference>
        </references>
      </pivotArea>
    </format>
    <format dxfId="1083">
      <pivotArea type="all" dataOnly="0" outline="0" fieldPosition="0"/>
    </format>
    <format dxfId="1082">
      <pivotArea outline="0" collapsedLevelsAreSubtotals="1" fieldPosition="0"/>
    </format>
    <format dxfId="1081">
      <pivotArea field="1" type="button" dataOnly="0" labelOnly="1" outline="0" axis="axisRow" fieldPosition="0"/>
    </format>
    <format dxfId="108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79">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78">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77">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76">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75">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74">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73">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072">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71">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070">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069">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68">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67">
      <pivotArea dataOnly="0" labelOnly="1" fieldPosition="0">
        <references count="1">
          <reference field="1" count="18">
            <x v="650"/>
            <x v="651"/>
            <x v="652"/>
            <x v="653"/>
            <x v="654"/>
            <x v="655"/>
            <x v="656"/>
            <x v="657"/>
            <x v="658"/>
            <x v="659"/>
            <x v="660"/>
            <x v="661"/>
            <x v="662"/>
            <x v="663"/>
            <x v="664"/>
            <x v="665"/>
            <x v="666"/>
            <x v="667"/>
          </reference>
        </references>
      </pivotArea>
    </format>
    <format dxfId="1066">
      <pivotArea dataOnly="0" labelOnly="1" grandRow="1" outline="0" fieldPosition="0"/>
    </format>
    <format dxfId="1065">
      <pivotArea dataOnly="0" labelOnly="1" fieldPosition="0">
        <references count="2">
          <reference field="1" count="1" selected="0">
            <x v="1"/>
          </reference>
          <reference field="2" count="1">
            <x v="34"/>
          </reference>
        </references>
      </pivotArea>
    </format>
    <format dxfId="1064">
      <pivotArea dataOnly="0" labelOnly="1" fieldPosition="0">
        <references count="2">
          <reference field="1" count="1" selected="0">
            <x v="2"/>
          </reference>
          <reference field="2" count="1">
            <x v="52"/>
          </reference>
        </references>
      </pivotArea>
    </format>
    <format dxfId="1063">
      <pivotArea dataOnly="0" labelOnly="1" fieldPosition="0">
        <references count="2">
          <reference field="1" count="1" selected="0">
            <x v="3"/>
          </reference>
          <reference field="2" count="1">
            <x v="1"/>
          </reference>
        </references>
      </pivotArea>
    </format>
    <format dxfId="1062">
      <pivotArea dataOnly="0" labelOnly="1" fieldPosition="0">
        <references count="2">
          <reference field="1" count="1" selected="0">
            <x v="4"/>
          </reference>
          <reference field="2" count="1">
            <x v="53"/>
          </reference>
        </references>
      </pivotArea>
    </format>
    <format dxfId="1061">
      <pivotArea dataOnly="0" labelOnly="1" fieldPosition="0">
        <references count="2">
          <reference field="1" count="1" selected="0">
            <x v="5"/>
          </reference>
          <reference field="2" count="1">
            <x v="23"/>
          </reference>
        </references>
      </pivotArea>
    </format>
    <format dxfId="1060">
      <pivotArea dataOnly="0" labelOnly="1" fieldPosition="0">
        <references count="2">
          <reference field="1" count="1" selected="0">
            <x v="6"/>
          </reference>
          <reference field="2" count="1">
            <x v="36"/>
          </reference>
        </references>
      </pivotArea>
    </format>
    <format dxfId="1059">
      <pivotArea dataOnly="0" labelOnly="1" fieldPosition="0">
        <references count="2">
          <reference field="1" count="1" selected="0">
            <x v="7"/>
          </reference>
          <reference field="2" count="1">
            <x v="34"/>
          </reference>
        </references>
      </pivotArea>
    </format>
    <format dxfId="1058">
      <pivotArea dataOnly="0" labelOnly="1" fieldPosition="0">
        <references count="2">
          <reference field="1" count="1" selected="0">
            <x v="8"/>
          </reference>
          <reference field="2" count="2">
            <x v="55"/>
            <x v="66"/>
          </reference>
        </references>
      </pivotArea>
    </format>
    <format dxfId="1057">
      <pivotArea dataOnly="0" labelOnly="1" fieldPosition="0">
        <references count="2">
          <reference field="1" count="1" selected="0">
            <x v="9"/>
          </reference>
          <reference field="2" count="1">
            <x v="53"/>
          </reference>
        </references>
      </pivotArea>
    </format>
    <format dxfId="1056">
      <pivotArea dataOnly="0" labelOnly="1" fieldPosition="0">
        <references count="2">
          <reference field="1" count="1" selected="0">
            <x v="10"/>
          </reference>
          <reference field="2" count="1">
            <x v="83"/>
          </reference>
        </references>
      </pivotArea>
    </format>
    <format dxfId="1055">
      <pivotArea dataOnly="0" labelOnly="1" fieldPosition="0">
        <references count="2">
          <reference field="1" count="1" selected="0">
            <x v="11"/>
          </reference>
          <reference field="2" count="1">
            <x v="0"/>
          </reference>
        </references>
      </pivotArea>
    </format>
    <format dxfId="1054">
      <pivotArea dataOnly="0" labelOnly="1" fieldPosition="0">
        <references count="2">
          <reference field="1" count="1" selected="0">
            <x v="12"/>
          </reference>
          <reference field="2" count="1">
            <x v="53"/>
          </reference>
        </references>
      </pivotArea>
    </format>
    <format dxfId="1053">
      <pivotArea dataOnly="0" labelOnly="1" fieldPosition="0">
        <references count="2">
          <reference field="1" count="1" selected="0">
            <x v="13"/>
          </reference>
          <reference field="2" count="1">
            <x v="1"/>
          </reference>
        </references>
      </pivotArea>
    </format>
    <format dxfId="1052">
      <pivotArea dataOnly="0" labelOnly="1" fieldPosition="0">
        <references count="2">
          <reference field="1" count="1" selected="0">
            <x v="14"/>
          </reference>
          <reference field="2" count="1">
            <x v="66"/>
          </reference>
        </references>
      </pivotArea>
    </format>
    <format dxfId="1051">
      <pivotArea dataOnly="0" labelOnly="1" fieldPosition="0">
        <references count="2">
          <reference field="1" count="1" selected="0">
            <x v="15"/>
          </reference>
          <reference field="2" count="1">
            <x v="71"/>
          </reference>
        </references>
      </pivotArea>
    </format>
    <format dxfId="1050">
      <pivotArea dataOnly="0" labelOnly="1" fieldPosition="0">
        <references count="2">
          <reference field="1" count="1" selected="0">
            <x v="16"/>
          </reference>
          <reference field="2" count="1">
            <x v="73"/>
          </reference>
        </references>
      </pivotArea>
    </format>
    <format dxfId="1049">
      <pivotArea dataOnly="0" labelOnly="1" fieldPosition="0">
        <references count="2">
          <reference field="1" count="1" selected="0">
            <x v="17"/>
          </reference>
          <reference field="2" count="1">
            <x v="52"/>
          </reference>
        </references>
      </pivotArea>
    </format>
    <format dxfId="1048">
      <pivotArea dataOnly="0" labelOnly="1" fieldPosition="0">
        <references count="2">
          <reference field="1" count="1" selected="0">
            <x v="18"/>
          </reference>
          <reference field="2" count="1">
            <x v="34"/>
          </reference>
        </references>
      </pivotArea>
    </format>
    <format dxfId="1047">
      <pivotArea dataOnly="0" labelOnly="1" fieldPosition="0">
        <references count="2">
          <reference field="1" count="1" selected="0">
            <x v="19"/>
          </reference>
          <reference field="2" count="1">
            <x v="52"/>
          </reference>
        </references>
      </pivotArea>
    </format>
    <format dxfId="1046">
      <pivotArea dataOnly="0" labelOnly="1" fieldPosition="0">
        <references count="2">
          <reference field="1" count="1" selected="0">
            <x v="20"/>
          </reference>
          <reference field="2" count="1">
            <x v="1"/>
          </reference>
        </references>
      </pivotArea>
    </format>
    <format dxfId="1045">
      <pivotArea dataOnly="0" labelOnly="1" fieldPosition="0">
        <references count="2">
          <reference field="1" count="1" selected="0">
            <x v="21"/>
          </reference>
          <reference field="2" count="1">
            <x v="39"/>
          </reference>
        </references>
      </pivotArea>
    </format>
    <format dxfId="1044">
      <pivotArea dataOnly="0" labelOnly="1" fieldPosition="0">
        <references count="2">
          <reference field="1" count="1" selected="0">
            <x v="22"/>
          </reference>
          <reference field="2" count="1">
            <x v="1"/>
          </reference>
        </references>
      </pivotArea>
    </format>
    <format dxfId="1043">
      <pivotArea dataOnly="0" labelOnly="1" fieldPosition="0">
        <references count="2">
          <reference field="1" count="1" selected="0">
            <x v="23"/>
          </reference>
          <reference field="2" count="1">
            <x v="53"/>
          </reference>
        </references>
      </pivotArea>
    </format>
    <format dxfId="1042">
      <pivotArea dataOnly="0" labelOnly="1" fieldPosition="0">
        <references count="2">
          <reference field="1" count="1" selected="0">
            <x v="24"/>
          </reference>
          <reference field="2" count="1">
            <x v="53"/>
          </reference>
        </references>
      </pivotArea>
    </format>
    <format dxfId="1041">
      <pivotArea dataOnly="0" labelOnly="1" fieldPosition="0">
        <references count="2">
          <reference field="1" count="1" selected="0">
            <x v="25"/>
          </reference>
          <reference field="2" count="1">
            <x v="53"/>
          </reference>
        </references>
      </pivotArea>
    </format>
    <format dxfId="1040">
      <pivotArea dataOnly="0" labelOnly="1" fieldPosition="0">
        <references count="2">
          <reference field="1" count="1" selected="0">
            <x v="26"/>
          </reference>
          <reference field="2" count="1">
            <x v="52"/>
          </reference>
        </references>
      </pivotArea>
    </format>
    <format dxfId="1039">
      <pivotArea dataOnly="0" labelOnly="1" fieldPosition="0">
        <references count="2">
          <reference field="1" count="1" selected="0">
            <x v="27"/>
          </reference>
          <reference field="2" count="1">
            <x v="52"/>
          </reference>
        </references>
      </pivotArea>
    </format>
    <format dxfId="1038">
      <pivotArea dataOnly="0" labelOnly="1" fieldPosition="0">
        <references count="2">
          <reference field="1" count="1" selected="0">
            <x v="28"/>
          </reference>
          <reference field="2" count="1">
            <x v="1"/>
          </reference>
        </references>
      </pivotArea>
    </format>
    <format dxfId="1037">
      <pivotArea dataOnly="0" labelOnly="1" fieldPosition="0">
        <references count="2">
          <reference field="1" count="1" selected="0">
            <x v="29"/>
          </reference>
          <reference field="2" count="1">
            <x v="52"/>
          </reference>
        </references>
      </pivotArea>
    </format>
    <format dxfId="1036">
      <pivotArea dataOnly="0" labelOnly="1" fieldPosition="0">
        <references count="2">
          <reference field="1" count="1" selected="0">
            <x v="30"/>
          </reference>
          <reference field="2" count="1">
            <x v="23"/>
          </reference>
        </references>
      </pivotArea>
    </format>
    <format dxfId="1035">
      <pivotArea dataOnly="0" labelOnly="1" fieldPosition="0">
        <references count="2">
          <reference field="1" count="1" selected="0">
            <x v="31"/>
          </reference>
          <reference field="2" count="1">
            <x v="53"/>
          </reference>
        </references>
      </pivotArea>
    </format>
    <format dxfId="1034">
      <pivotArea dataOnly="0" labelOnly="1" fieldPosition="0">
        <references count="2">
          <reference field="1" count="1" selected="0">
            <x v="32"/>
          </reference>
          <reference field="2" count="1">
            <x v="46"/>
          </reference>
        </references>
      </pivotArea>
    </format>
    <format dxfId="1033">
      <pivotArea dataOnly="0" labelOnly="1" fieldPosition="0">
        <references count="2">
          <reference field="1" count="1" selected="0">
            <x v="33"/>
          </reference>
          <reference field="2" count="1">
            <x v="96"/>
          </reference>
        </references>
      </pivotArea>
    </format>
    <format dxfId="1032">
      <pivotArea dataOnly="0" labelOnly="1" fieldPosition="0">
        <references count="2">
          <reference field="1" count="1" selected="0">
            <x v="34"/>
          </reference>
          <reference field="2" count="1">
            <x v="56"/>
          </reference>
        </references>
      </pivotArea>
    </format>
    <format dxfId="1031">
      <pivotArea dataOnly="0" labelOnly="1" fieldPosition="0">
        <references count="2">
          <reference field="1" count="1" selected="0">
            <x v="35"/>
          </reference>
          <reference field="2" count="1">
            <x v="23"/>
          </reference>
        </references>
      </pivotArea>
    </format>
    <format dxfId="1030">
      <pivotArea dataOnly="0" labelOnly="1" fieldPosition="0">
        <references count="2">
          <reference field="1" count="1" selected="0">
            <x v="36"/>
          </reference>
          <reference field="2" count="1">
            <x v="52"/>
          </reference>
        </references>
      </pivotArea>
    </format>
    <format dxfId="1029">
      <pivotArea dataOnly="0" labelOnly="1" fieldPosition="0">
        <references count="2">
          <reference field="1" count="1" selected="0">
            <x v="37"/>
          </reference>
          <reference field="2" count="1">
            <x v="52"/>
          </reference>
        </references>
      </pivotArea>
    </format>
    <format dxfId="1028">
      <pivotArea dataOnly="0" labelOnly="1" fieldPosition="0">
        <references count="2">
          <reference field="1" count="1" selected="0">
            <x v="38"/>
          </reference>
          <reference field="2" count="1">
            <x v="53"/>
          </reference>
        </references>
      </pivotArea>
    </format>
    <format dxfId="1027">
      <pivotArea dataOnly="0" labelOnly="1" fieldPosition="0">
        <references count="2">
          <reference field="1" count="1" selected="0">
            <x v="39"/>
          </reference>
          <reference field="2" count="1">
            <x v="1"/>
          </reference>
        </references>
      </pivotArea>
    </format>
    <format dxfId="1026">
      <pivotArea dataOnly="0" labelOnly="1" fieldPosition="0">
        <references count="2">
          <reference field="1" count="1" selected="0">
            <x v="40"/>
          </reference>
          <reference field="2" count="1">
            <x v="58"/>
          </reference>
        </references>
      </pivotArea>
    </format>
    <format dxfId="1025">
      <pivotArea dataOnly="0" labelOnly="1" fieldPosition="0">
        <references count="2">
          <reference field="1" count="1" selected="0">
            <x v="41"/>
          </reference>
          <reference field="2" count="4">
            <x v="8"/>
            <x v="38"/>
            <x v="53"/>
            <x v="65"/>
          </reference>
        </references>
      </pivotArea>
    </format>
    <format dxfId="1024">
      <pivotArea dataOnly="0" labelOnly="1" fieldPosition="0">
        <references count="2">
          <reference field="1" count="1" selected="0">
            <x v="42"/>
          </reference>
          <reference field="2" count="1">
            <x v="34"/>
          </reference>
        </references>
      </pivotArea>
    </format>
    <format dxfId="1023">
      <pivotArea dataOnly="0" labelOnly="1" fieldPosition="0">
        <references count="2">
          <reference field="1" count="1" selected="0">
            <x v="43"/>
          </reference>
          <reference field="2" count="1">
            <x v="34"/>
          </reference>
        </references>
      </pivotArea>
    </format>
    <format dxfId="1022">
      <pivotArea dataOnly="0" labelOnly="1" fieldPosition="0">
        <references count="2">
          <reference field="1" count="1" selected="0">
            <x v="44"/>
          </reference>
          <reference field="2" count="1">
            <x v="46"/>
          </reference>
        </references>
      </pivotArea>
    </format>
    <format dxfId="1021">
      <pivotArea dataOnly="0" labelOnly="1" fieldPosition="0">
        <references count="2">
          <reference field="1" count="1" selected="0">
            <x v="45"/>
          </reference>
          <reference field="2" count="1">
            <x v="34"/>
          </reference>
        </references>
      </pivotArea>
    </format>
    <format dxfId="1020">
      <pivotArea dataOnly="0" labelOnly="1" fieldPosition="0">
        <references count="2">
          <reference field="1" count="1" selected="0">
            <x v="46"/>
          </reference>
          <reference field="2" count="1">
            <x v="96"/>
          </reference>
        </references>
      </pivotArea>
    </format>
    <format dxfId="1019">
      <pivotArea dataOnly="0" labelOnly="1" fieldPosition="0">
        <references count="2">
          <reference field="1" count="1" selected="0">
            <x v="47"/>
          </reference>
          <reference field="2" count="1">
            <x v="91"/>
          </reference>
        </references>
      </pivotArea>
    </format>
    <format dxfId="1018">
      <pivotArea dataOnly="0" labelOnly="1" fieldPosition="0">
        <references count="2">
          <reference field="1" count="1" selected="0">
            <x v="48"/>
          </reference>
          <reference field="2" count="1">
            <x v="52"/>
          </reference>
        </references>
      </pivotArea>
    </format>
    <format dxfId="1017">
      <pivotArea dataOnly="0" labelOnly="1" fieldPosition="0">
        <references count="2">
          <reference field="1" count="1" selected="0">
            <x v="49"/>
          </reference>
          <reference field="2" count="1">
            <x v="18"/>
          </reference>
        </references>
      </pivotArea>
    </format>
    <format dxfId="1016">
      <pivotArea dataOnly="0" labelOnly="1" fieldPosition="0">
        <references count="2">
          <reference field="1" count="1" selected="0">
            <x v="50"/>
          </reference>
          <reference field="2" count="1">
            <x v="1"/>
          </reference>
        </references>
      </pivotArea>
    </format>
    <format dxfId="1015">
      <pivotArea dataOnly="0" labelOnly="1" fieldPosition="0">
        <references count="2">
          <reference field="1" count="1" selected="0">
            <x v="51"/>
          </reference>
          <reference field="2" count="1">
            <x v="52"/>
          </reference>
        </references>
      </pivotArea>
    </format>
    <format dxfId="1014">
      <pivotArea dataOnly="0" labelOnly="1" fieldPosition="0">
        <references count="2">
          <reference field="1" count="1" selected="0">
            <x v="52"/>
          </reference>
          <reference field="2" count="1">
            <x v="52"/>
          </reference>
        </references>
      </pivotArea>
    </format>
    <format dxfId="1013">
      <pivotArea dataOnly="0" labelOnly="1" fieldPosition="0">
        <references count="2">
          <reference field="1" count="1" selected="0">
            <x v="53"/>
          </reference>
          <reference field="2" count="1">
            <x v="100"/>
          </reference>
        </references>
      </pivotArea>
    </format>
    <format dxfId="1012">
      <pivotArea dataOnly="0" labelOnly="1" fieldPosition="0">
        <references count="2">
          <reference field="1" count="1" selected="0">
            <x v="54"/>
          </reference>
          <reference field="2" count="1">
            <x v="53"/>
          </reference>
        </references>
      </pivotArea>
    </format>
    <format dxfId="1011">
      <pivotArea dataOnly="0" labelOnly="1" fieldPosition="0">
        <references count="2">
          <reference field="1" count="1" selected="0">
            <x v="55"/>
          </reference>
          <reference field="2" count="1">
            <x v="53"/>
          </reference>
        </references>
      </pivotArea>
    </format>
    <format dxfId="1010">
      <pivotArea dataOnly="0" labelOnly="1" fieldPosition="0">
        <references count="2">
          <reference field="1" count="1" selected="0">
            <x v="56"/>
          </reference>
          <reference field="2" count="1">
            <x v="51"/>
          </reference>
        </references>
      </pivotArea>
    </format>
    <format dxfId="1009">
      <pivotArea dataOnly="0" labelOnly="1" fieldPosition="0">
        <references count="2">
          <reference field="1" count="1" selected="0">
            <x v="57"/>
          </reference>
          <reference field="2" count="1">
            <x v="52"/>
          </reference>
        </references>
      </pivotArea>
    </format>
    <format dxfId="1008">
      <pivotArea dataOnly="0" labelOnly="1" fieldPosition="0">
        <references count="2">
          <reference field="1" count="1" selected="0">
            <x v="58"/>
          </reference>
          <reference field="2" count="1">
            <x v="47"/>
          </reference>
        </references>
      </pivotArea>
    </format>
    <format dxfId="1007">
      <pivotArea dataOnly="0" labelOnly="1" fieldPosition="0">
        <references count="2">
          <reference field="1" count="1" selected="0">
            <x v="59"/>
          </reference>
          <reference field="2" count="1">
            <x v="53"/>
          </reference>
        </references>
      </pivotArea>
    </format>
    <format dxfId="1006">
      <pivotArea dataOnly="0" labelOnly="1" fieldPosition="0">
        <references count="2">
          <reference field="1" count="1" selected="0">
            <x v="60"/>
          </reference>
          <reference field="2" count="1">
            <x v="1"/>
          </reference>
        </references>
      </pivotArea>
    </format>
    <format dxfId="1005">
      <pivotArea dataOnly="0" labelOnly="1" fieldPosition="0">
        <references count="2">
          <reference field="1" count="1" selected="0">
            <x v="61"/>
          </reference>
          <reference field="2" count="1">
            <x v="8"/>
          </reference>
        </references>
      </pivotArea>
    </format>
    <format dxfId="1004">
      <pivotArea dataOnly="0" labelOnly="1" fieldPosition="0">
        <references count="2">
          <reference field="1" count="1" selected="0">
            <x v="62"/>
          </reference>
          <reference field="2" count="1">
            <x v="83"/>
          </reference>
        </references>
      </pivotArea>
    </format>
    <format dxfId="1003">
      <pivotArea dataOnly="0" labelOnly="1" fieldPosition="0">
        <references count="2">
          <reference field="1" count="1" selected="0">
            <x v="63"/>
          </reference>
          <reference field="2" count="1">
            <x v="34"/>
          </reference>
        </references>
      </pivotArea>
    </format>
    <format dxfId="1002">
      <pivotArea dataOnly="0" labelOnly="1" fieldPosition="0">
        <references count="2">
          <reference field="1" count="1" selected="0">
            <x v="64"/>
          </reference>
          <reference field="2" count="1">
            <x v="29"/>
          </reference>
        </references>
      </pivotArea>
    </format>
    <format dxfId="1001">
      <pivotArea dataOnly="0" labelOnly="1" fieldPosition="0">
        <references count="2">
          <reference field="1" count="1" selected="0">
            <x v="65"/>
          </reference>
          <reference field="2" count="1">
            <x v="89"/>
          </reference>
        </references>
      </pivotArea>
    </format>
    <format dxfId="1000">
      <pivotArea dataOnly="0" labelOnly="1" fieldPosition="0">
        <references count="2">
          <reference field="1" count="1" selected="0">
            <x v="66"/>
          </reference>
          <reference field="2" count="1">
            <x v="99"/>
          </reference>
        </references>
      </pivotArea>
    </format>
    <format dxfId="999">
      <pivotArea dataOnly="0" labelOnly="1" fieldPosition="0">
        <references count="2">
          <reference field="1" count="1" selected="0">
            <x v="67"/>
          </reference>
          <reference field="2" count="1">
            <x v="52"/>
          </reference>
        </references>
      </pivotArea>
    </format>
    <format dxfId="998">
      <pivotArea dataOnly="0" labelOnly="1" fieldPosition="0">
        <references count="2">
          <reference field="1" count="1" selected="0">
            <x v="68"/>
          </reference>
          <reference field="2" count="2">
            <x v="34"/>
            <x v="52"/>
          </reference>
        </references>
      </pivotArea>
    </format>
    <format dxfId="997">
      <pivotArea dataOnly="0" labelOnly="1" fieldPosition="0">
        <references count="2">
          <reference field="1" count="1" selected="0">
            <x v="69"/>
          </reference>
          <reference field="2" count="1">
            <x v="45"/>
          </reference>
        </references>
      </pivotArea>
    </format>
    <format dxfId="996">
      <pivotArea dataOnly="0" labelOnly="1" fieldPosition="0">
        <references count="2">
          <reference field="1" count="1" selected="0">
            <x v="70"/>
          </reference>
          <reference field="2" count="1">
            <x v="52"/>
          </reference>
        </references>
      </pivotArea>
    </format>
    <format dxfId="995">
      <pivotArea dataOnly="0" labelOnly="1" fieldPosition="0">
        <references count="2">
          <reference field="1" count="1" selected="0">
            <x v="71"/>
          </reference>
          <reference field="2" count="1">
            <x v="52"/>
          </reference>
        </references>
      </pivotArea>
    </format>
    <format dxfId="994">
      <pivotArea dataOnly="0" labelOnly="1" fieldPosition="0">
        <references count="2">
          <reference field="1" count="1" selected="0">
            <x v="72"/>
          </reference>
          <reference field="2" count="1">
            <x v="34"/>
          </reference>
        </references>
      </pivotArea>
    </format>
    <format dxfId="993">
      <pivotArea dataOnly="0" labelOnly="1" fieldPosition="0">
        <references count="2">
          <reference field="1" count="1" selected="0">
            <x v="73"/>
          </reference>
          <reference field="2" count="1">
            <x v="106"/>
          </reference>
        </references>
      </pivotArea>
    </format>
    <format dxfId="992">
      <pivotArea dataOnly="0" labelOnly="1" fieldPosition="0">
        <references count="2">
          <reference field="1" count="1" selected="0">
            <x v="74"/>
          </reference>
          <reference field="2" count="1">
            <x v="52"/>
          </reference>
        </references>
      </pivotArea>
    </format>
    <format dxfId="991">
      <pivotArea dataOnly="0" labelOnly="1" fieldPosition="0">
        <references count="2">
          <reference field="1" count="1" selected="0">
            <x v="75"/>
          </reference>
          <reference field="2" count="3">
            <x v="8"/>
            <x v="23"/>
            <x v="52"/>
          </reference>
        </references>
      </pivotArea>
    </format>
    <format dxfId="990">
      <pivotArea dataOnly="0" labelOnly="1" fieldPosition="0">
        <references count="2">
          <reference field="1" count="1" selected="0">
            <x v="76"/>
          </reference>
          <reference field="2" count="1">
            <x v="23"/>
          </reference>
        </references>
      </pivotArea>
    </format>
    <format dxfId="989">
      <pivotArea dataOnly="0" labelOnly="1" fieldPosition="0">
        <references count="2">
          <reference field="1" count="1" selected="0">
            <x v="77"/>
          </reference>
          <reference field="2" count="1">
            <x v="52"/>
          </reference>
        </references>
      </pivotArea>
    </format>
    <format dxfId="988">
      <pivotArea dataOnly="0" labelOnly="1" fieldPosition="0">
        <references count="2">
          <reference field="1" count="1" selected="0">
            <x v="78"/>
          </reference>
          <reference field="2" count="1">
            <x v="53"/>
          </reference>
        </references>
      </pivotArea>
    </format>
    <format dxfId="987">
      <pivotArea dataOnly="0" labelOnly="1" fieldPosition="0">
        <references count="2">
          <reference field="1" count="1" selected="0">
            <x v="79"/>
          </reference>
          <reference field="2" count="1">
            <x v="23"/>
          </reference>
        </references>
      </pivotArea>
    </format>
    <format dxfId="986">
      <pivotArea dataOnly="0" labelOnly="1" fieldPosition="0">
        <references count="2">
          <reference field="1" count="1" selected="0">
            <x v="80"/>
          </reference>
          <reference field="2" count="1">
            <x v="1"/>
          </reference>
        </references>
      </pivotArea>
    </format>
    <format dxfId="985">
      <pivotArea dataOnly="0" labelOnly="1" fieldPosition="0">
        <references count="2">
          <reference field="1" count="1" selected="0">
            <x v="81"/>
          </reference>
          <reference field="2" count="1">
            <x v="101"/>
          </reference>
        </references>
      </pivotArea>
    </format>
    <format dxfId="984">
      <pivotArea dataOnly="0" labelOnly="1" fieldPosition="0">
        <references count="2">
          <reference field="1" count="1" selected="0">
            <x v="82"/>
          </reference>
          <reference field="2" count="1">
            <x v="1"/>
          </reference>
        </references>
      </pivotArea>
    </format>
    <format dxfId="983">
      <pivotArea dataOnly="0" labelOnly="1" fieldPosition="0">
        <references count="2">
          <reference field="1" count="1" selected="0">
            <x v="83"/>
          </reference>
          <reference field="2" count="1">
            <x v="23"/>
          </reference>
        </references>
      </pivotArea>
    </format>
    <format dxfId="982">
      <pivotArea dataOnly="0" labelOnly="1" fieldPosition="0">
        <references count="2">
          <reference field="1" count="1" selected="0">
            <x v="84"/>
          </reference>
          <reference field="2" count="1">
            <x v="91"/>
          </reference>
        </references>
      </pivotArea>
    </format>
    <format dxfId="981">
      <pivotArea dataOnly="0" labelOnly="1" fieldPosition="0">
        <references count="2">
          <reference field="1" count="1" selected="0">
            <x v="85"/>
          </reference>
          <reference field="2" count="1">
            <x v="73"/>
          </reference>
        </references>
      </pivotArea>
    </format>
    <format dxfId="980">
      <pivotArea dataOnly="0" labelOnly="1" fieldPosition="0">
        <references count="2">
          <reference field="1" count="1" selected="0">
            <x v="86"/>
          </reference>
          <reference field="2" count="1">
            <x v="52"/>
          </reference>
        </references>
      </pivotArea>
    </format>
    <format dxfId="979">
      <pivotArea dataOnly="0" labelOnly="1" fieldPosition="0">
        <references count="2">
          <reference field="1" count="1" selected="0">
            <x v="87"/>
          </reference>
          <reference field="2" count="1">
            <x v="1"/>
          </reference>
        </references>
      </pivotArea>
    </format>
    <format dxfId="978">
      <pivotArea dataOnly="0" labelOnly="1" fieldPosition="0">
        <references count="2">
          <reference field="1" count="1" selected="0">
            <x v="88"/>
          </reference>
          <reference field="2" count="2">
            <x v="18"/>
            <x v="106"/>
          </reference>
        </references>
      </pivotArea>
    </format>
    <format dxfId="977">
      <pivotArea dataOnly="0" labelOnly="1" fieldPosition="0">
        <references count="2">
          <reference field="1" count="1" selected="0">
            <x v="89"/>
          </reference>
          <reference field="2" count="2">
            <x v="29"/>
            <x v="52"/>
          </reference>
        </references>
      </pivotArea>
    </format>
    <format dxfId="976">
      <pivotArea dataOnly="0" labelOnly="1" fieldPosition="0">
        <references count="2">
          <reference field="1" count="1" selected="0">
            <x v="90"/>
          </reference>
          <reference field="2" count="1">
            <x v="63"/>
          </reference>
        </references>
      </pivotArea>
    </format>
    <format dxfId="975">
      <pivotArea dataOnly="0" labelOnly="1" fieldPosition="0">
        <references count="2">
          <reference field="1" count="1" selected="0">
            <x v="91"/>
          </reference>
          <reference field="2" count="1">
            <x v="34"/>
          </reference>
        </references>
      </pivotArea>
    </format>
    <format dxfId="974">
      <pivotArea dataOnly="0" labelOnly="1" fieldPosition="0">
        <references count="2">
          <reference field="1" count="1" selected="0">
            <x v="92"/>
          </reference>
          <reference field="2" count="1">
            <x v="52"/>
          </reference>
        </references>
      </pivotArea>
    </format>
    <format dxfId="973">
      <pivotArea dataOnly="0" labelOnly="1" fieldPosition="0">
        <references count="2">
          <reference field="1" count="1" selected="0">
            <x v="93"/>
          </reference>
          <reference field="2" count="1">
            <x v="1"/>
          </reference>
        </references>
      </pivotArea>
    </format>
    <format dxfId="972">
      <pivotArea dataOnly="0" labelOnly="1" fieldPosition="0">
        <references count="2">
          <reference field="1" count="1" selected="0">
            <x v="94"/>
          </reference>
          <reference field="2" count="1">
            <x v="52"/>
          </reference>
        </references>
      </pivotArea>
    </format>
    <format dxfId="971">
      <pivotArea dataOnly="0" labelOnly="1" fieldPosition="0">
        <references count="2">
          <reference field="1" count="1" selected="0">
            <x v="95"/>
          </reference>
          <reference field="2" count="1">
            <x v="73"/>
          </reference>
        </references>
      </pivotArea>
    </format>
    <format dxfId="970">
      <pivotArea dataOnly="0" labelOnly="1" fieldPosition="0">
        <references count="2">
          <reference field="1" count="1" selected="0">
            <x v="96"/>
          </reference>
          <reference field="2" count="1">
            <x v="40"/>
          </reference>
        </references>
      </pivotArea>
    </format>
    <format dxfId="969">
      <pivotArea dataOnly="0" labelOnly="1" fieldPosition="0">
        <references count="2">
          <reference field="1" count="1" selected="0">
            <x v="97"/>
          </reference>
          <reference field="2" count="1">
            <x v="52"/>
          </reference>
        </references>
      </pivotArea>
    </format>
    <format dxfId="968">
      <pivotArea dataOnly="0" labelOnly="1" fieldPosition="0">
        <references count="2">
          <reference field="1" count="1" selected="0">
            <x v="98"/>
          </reference>
          <reference field="2" count="1">
            <x v="103"/>
          </reference>
        </references>
      </pivotArea>
    </format>
    <format dxfId="967">
      <pivotArea dataOnly="0" labelOnly="1" fieldPosition="0">
        <references count="2">
          <reference field="1" count="1" selected="0">
            <x v="99"/>
          </reference>
          <reference field="2" count="1">
            <x v="53"/>
          </reference>
        </references>
      </pivotArea>
    </format>
    <format dxfId="966">
      <pivotArea dataOnly="0" labelOnly="1" fieldPosition="0">
        <references count="2">
          <reference field="1" count="1" selected="0">
            <x v="100"/>
          </reference>
          <reference field="2" count="1">
            <x v="58"/>
          </reference>
        </references>
      </pivotArea>
    </format>
    <format dxfId="965">
      <pivotArea dataOnly="0" labelOnly="1" fieldPosition="0">
        <references count="2">
          <reference field="1" count="1" selected="0">
            <x v="101"/>
          </reference>
          <reference field="2" count="1">
            <x v="34"/>
          </reference>
        </references>
      </pivotArea>
    </format>
    <format dxfId="964">
      <pivotArea dataOnly="0" labelOnly="1" fieldPosition="0">
        <references count="2">
          <reference field="1" count="1" selected="0">
            <x v="102"/>
          </reference>
          <reference field="2" count="1">
            <x v="51"/>
          </reference>
        </references>
      </pivotArea>
    </format>
    <format dxfId="963">
      <pivotArea dataOnly="0" labelOnly="1" fieldPosition="0">
        <references count="2">
          <reference field="1" count="1" selected="0">
            <x v="103"/>
          </reference>
          <reference field="2" count="1">
            <x v="56"/>
          </reference>
        </references>
      </pivotArea>
    </format>
    <format dxfId="962">
      <pivotArea dataOnly="0" labelOnly="1" fieldPosition="0">
        <references count="2">
          <reference field="1" count="1" selected="0">
            <x v="104"/>
          </reference>
          <reference field="2" count="1">
            <x v="23"/>
          </reference>
        </references>
      </pivotArea>
    </format>
    <format dxfId="961">
      <pivotArea dataOnly="0" labelOnly="1" fieldPosition="0">
        <references count="2">
          <reference field="1" count="1" selected="0">
            <x v="105"/>
          </reference>
          <reference field="2" count="1">
            <x v="30"/>
          </reference>
        </references>
      </pivotArea>
    </format>
    <format dxfId="960">
      <pivotArea dataOnly="0" labelOnly="1" fieldPosition="0">
        <references count="2">
          <reference field="1" count="1" selected="0">
            <x v="106"/>
          </reference>
          <reference field="2" count="1">
            <x v="1"/>
          </reference>
        </references>
      </pivotArea>
    </format>
    <format dxfId="959">
      <pivotArea dataOnly="0" labelOnly="1" fieldPosition="0">
        <references count="2">
          <reference field="1" count="1" selected="0">
            <x v="107"/>
          </reference>
          <reference field="2" count="1">
            <x v="23"/>
          </reference>
        </references>
      </pivotArea>
    </format>
    <format dxfId="958">
      <pivotArea dataOnly="0" labelOnly="1" fieldPosition="0">
        <references count="2">
          <reference field="1" count="1" selected="0">
            <x v="108"/>
          </reference>
          <reference field="2" count="1">
            <x v="29"/>
          </reference>
        </references>
      </pivotArea>
    </format>
    <format dxfId="957">
      <pivotArea dataOnly="0" labelOnly="1" fieldPosition="0">
        <references count="2">
          <reference field="1" count="1" selected="0">
            <x v="109"/>
          </reference>
          <reference field="2" count="1">
            <x v="52"/>
          </reference>
        </references>
      </pivotArea>
    </format>
    <format dxfId="956">
      <pivotArea dataOnly="0" labelOnly="1" fieldPosition="0">
        <references count="2">
          <reference field="1" count="1" selected="0">
            <x v="110"/>
          </reference>
          <reference field="2" count="1">
            <x v="59"/>
          </reference>
        </references>
      </pivotArea>
    </format>
    <format dxfId="955">
      <pivotArea dataOnly="0" labelOnly="1" fieldPosition="0">
        <references count="2">
          <reference field="1" count="1" selected="0">
            <x v="111"/>
          </reference>
          <reference field="2" count="1">
            <x v="73"/>
          </reference>
        </references>
      </pivotArea>
    </format>
    <format dxfId="954">
      <pivotArea dataOnly="0" labelOnly="1" fieldPosition="0">
        <references count="2">
          <reference field="1" count="1" selected="0">
            <x v="112"/>
          </reference>
          <reference field="2" count="1">
            <x v="4"/>
          </reference>
        </references>
      </pivotArea>
    </format>
    <format dxfId="953">
      <pivotArea dataOnly="0" labelOnly="1" fieldPosition="0">
        <references count="2">
          <reference field="1" count="1" selected="0">
            <x v="113"/>
          </reference>
          <reference field="2" count="1">
            <x v="34"/>
          </reference>
        </references>
      </pivotArea>
    </format>
    <format dxfId="952">
      <pivotArea dataOnly="0" labelOnly="1" fieldPosition="0">
        <references count="2">
          <reference field="1" count="1" selected="0">
            <x v="114"/>
          </reference>
          <reference field="2" count="1">
            <x v="52"/>
          </reference>
        </references>
      </pivotArea>
    </format>
    <format dxfId="951">
      <pivotArea dataOnly="0" labelOnly="1" fieldPosition="0">
        <references count="2">
          <reference field="1" count="1" selected="0">
            <x v="115"/>
          </reference>
          <reference field="2" count="1">
            <x v="91"/>
          </reference>
        </references>
      </pivotArea>
    </format>
    <format dxfId="950">
      <pivotArea dataOnly="0" labelOnly="1" fieldPosition="0">
        <references count="2">
          <reference field="1" count="1" selected="0">
            <x v="116"/>
          </reference>
          <reference field="2" count="1">
            <x v="23"/>
          </reference>
        </references>
      </pivotArea>
    </format>
    <format dxfId="949">
      <pivotArea dataOnly="0" labelOnly="1" fieldPosition="0">
        <references count="2">
          <reference field="1" count="1" selected="0">
            <x v="117"/>
          </reference>
          <reference field="2" count="1">
            <x v="1"/>
          </reference>
        </references>
      </pivotArea>
    </format>
    <format dxfId="948">
      <pivotArea dataOnly="0" labelOnly="1" fieldPosition="0">
        <references count="2">
          <reference field="1" count="1" selected="0">
            <x v="118"/>
          </reference>
          <reference field="2" count="1">
            <x v="23"/>
          </reference>
        </references>
      </pivotArea>
    </format>
    <format dxfId="947">
      <pivotArea dataOnly="0" labelOnly="1" fieldPosition="0">
        <references count="2">
          <reference field="1" count="1" selected="0">
            <x v="119"/>
          </reference>
          <reference field="2" count="1">
            <x v="53"/>
          </reference>
        </references>
      </pivotArea>
    </format>
    <format dxfId="946">
      <pivotArea dataOnly="0" labelOnly="1" fieldPosition="0">
        <references count="2">
          <reference field="1" count="1" selected="0">
            <x v="120"/>
          </reference>
          <reference field="2" count="1">
            <x v="76"/>
          </reference>
        </references>
      </pivotArea>
    </format>
    <format dxfId="945">
      <pivotArea dataOnly="0" labelOnly="1" fieldPosition="0">
        <references count="2">
          <reference field="1" count="1" selected="0">
            <x v="121"/>
          </reference>
          <reference field="2" count="1">
            <x v="8"/>
          </reference>
        </references>
      </pivotArea>
    </format>
    <format dxfId="944">
      <pivotArea dataOnly="0" labelOnly="1" fieldPosition="0">
        <references count="2">
          <reference field="1" count="1" selected="0">
            <x v="122"/>
          </reference>
          <reference field="2" count="1">
            <x v="52"/>
          </reference>
        </references>
      </pivotArea>
    </format>
    <format dxfId="943">
      <pivotArea dataOnly="0" labelOnly="1" fieldPosition="0">
        <references count="2">
          <reference field="1" count="1" selected="0">
            <x v="123"/>
          </reference>
          <reference field="2" count="1">
            <x v="11"/>
          </reference>
        </references>
      </pivotArea>
    </format>
    <format dxfId="942">
      <pivotArea dataOnly="0" labelOnly="1" fieldPosition="0">
        <references count="2">
          <reference field="1" count="1" selected="0">
            <x v="124"/>
          </reference>
          <reference field="2" count="1">
            <x v="89"/>
          </reference>
        </references>
      </pivotArea>
    </format>
    <format dxfId="941">
      <pivotArea dataOnly="0" labelOnly="1" fieldPosition="0">
        <references count="2">
          <reference field="1" count="1" selected="0">
            <x v="125"/>
          </reference>
          <reference field="2" count="1">
            <x v="20"/>
          </reference>
        </references>
      </pivotArea>
    </format>
    <format dxfId="940">
      <pivotArea dataOnly="0" labelOnly="1" fieldPosition="0">
        <references count="2">
          <reference field="1" count="1" selected="0">
            <x v="126"/>
          </reference>
          <reference field="2" count="3">
            <x v="23"/>
            <x v="27"/>
            <x v="52"/>
          </reference>
        </references>
      </pivotArea>
    </format>
    <format dxfId="939">
      <pivotArea dataOnly="0" labelOnly="1" fieldPosition="0">
        <references count="2">
          <reference field="1" count="1" selected="0">
            <x v="127"/>
          </reference>
          <reference field="2" count="1">
            <x v="62"/>
          </reference>
        </references>
      </pivotArea>
    </format>
    <format dxfId="938">
      <pivotArea dataOnly="0" labelOnly="1" fieldPosition="0">
        <references count="2">
          <reference field="1" count="1" selected="0">
            <x v="128"/>
          </reference>
          <reference field="2" count="1">
            <x v="52"/>
          </reference>
        </references>
      </pivotArea>
    </format>
    <format dxfId="937">
      <pivotArea dataOnly="0" labelOnly="1" fieldPosition="0">
        <references count="2">
          <reference field="1" count="1" selected="0">
            <x v="129"/>
          </reference>
          <reference field="2" count="1">
            <x v="1"/>
          </reference>
        </references>
      </pivotArea>
    </format>
    <format dxfId="936">
      <pivotArea dataOnly="0" labelOnly="1" fieldPosition="0">
        <references count="2">
          <reference field="1" count="1" selected="0">
            <x v="130"/>
          </reference>
          <reference field="2" count="1">
            <x v="61"/>
          </reference>
        </references>
      </pivotArea>
    </format>
    <format dxfId="935">
      <pivotArea dataOnly="0" labelOnly="1" fieldPosition="0">
        <references count="2">
          <reference field="1" count="1" selected="0">
            <x v="131"/>
          </reference>
          <reference field="2" count="1">
            <x v="34"/>
          </reference>
        </references>
      </pivotArea>
    </format>
    <format dxfId="934">
      <pivotArea dataOnly="0" labelOnly="1" fieldPosition="0">
        <references count="2">
          <reference field="1" count="1" selected="0">
            <x v="132"/>
          </reference>
          <reference field="2" count="1">
            <x v="44"/>
          </reference>
        </references>
      </pivotArea>
    </format>
    <format dxfId="933">
      <pivotArea dataOnly="0" labelOnly="1" fieldPosition="0">
        <references count="2">
          <reference field="1" count="1" selected="0">
            <x v="133"/>
          </reference>
          <reference field="2" count="1">
            <x v="52"/>
          </reference>
        </references>
      </pivotArea>
    </format>
    <format dxfId="932">
      <pivotArea dataOnly="0" labelOnly="1" fieldPosition="0">
        <references count="2">
          <reference field="1" count="1" selected="0">
            <x v="134"/>
          </reference>
          <reference field="2" count="1">
            <x v="53"/>
          </reference>
        </references>
      </pivotArea>
    </format>
    <format dxfId="931">
      <pivotArea dataOnly="0" labelOnly="1" fieldPosition="0">
        <references count="2">
          <reference field="1" count="1" selected="0">
            <x v="135"/>
          </reference>
          <reference field="2" count="1">
            <x v="23"/>
          </reference>
        </references>
      </pivotArea>
    </format>
    <format dxfId="930">
      <pivotArea dataOnly="0" labelOnly="1" fieldPosition="0">
        <references count="2">
          <reference field="1" count="1" selected="0">
            <x v="136"/>
          </reference>
          <reference field="2" count="1">
            <x v="84"/>
          </reference>
        </references>
      </pivotArea>
    </format>
    <format dxfId="929">
      <pivotArea dataOnly="0" labelOnly="1" fieldPosition="0">
        <references count="2">
          <reference field="1" count="1" selected="0">
            <x v="137"/>
          </reference>
          <reference field="2" count="1">
            <x v="30"/>
          </reference>
        </references>
      </pivotArea>
    </format>
    <format dxfId="928">
      <pivotArea dataOnly="0" labelOnly="1" fieldPosition="0">
        <references count="2">
          <reference field="1" count="1" selected="0">
            <x v="138"/>
          </reference>
          <reference field="2" count="1">
            <x v="53"/>
          </reference>
        </references>
      </pivotArea>
    </format>
    <format dxfId="927">
      <pivotArea dataOnly="0" labelOnly="1" fieldPosition="0">
        <references count="2">
          <reference field="1" count="1" selected="0">
            <x v="139"/>
          </reference>
          <reference field="2" count="1">
            <x v="1"/>
          </reference>
        </references>
      </pivotArea>
    </format>
    <format dxfId="926">
      <pivotArea dataOnly="0" labelOnly="1" fieldPosition="0">
        <references count="2">
          <reference field="1" count="1" selected="0">
            <x v="140"/>
          </reference>
          <reference field="2" count="1">
            <x v="100"/>
          </reference>
        </references>
      </pivotArea>
    </format>
    <format dxfId="925">
      <pivotArea dataOnly="0" labelOnly="1" fieldPosition="0">
        <references count="2">
          <reference field="1" count="1" selected="0">
            <x v="141"/>
          </reference>
          <reference field="2" count="1">
            <x v="53"/>
          </reference>
        </references>
      </pivotArea>
    </format>
    <format dxfId="924">
      <pivotArea dataOnly="0" labelOnly="1" fieldPosition="0">
        <references count="2">
          <reference field="1" count="1" selected="0">
            <x v="142"/>
          </reference>
          <reference field="2" count="1">
            <x v="52"/>
          </reference>
        </references>
      </pivotArea>
    </format>
    <format dxfId="923">
      <pivotArea dataOnly="0" labelOnly="1" fieldPosition="0">
        <references count="2">
          <reference field="1" count="1" selected="0">
            <x v="143"/>
          </reference>
          <reference field="2" count="1">
            <x v="73"/>
          </reference>
        </references>
      </pivotArea>
    </format>
    <format dxfId="922">
      <pivotArea dataOnly="0" labelOnly="1" fieldPosition="0">
        <references count="2">
          <reference field="1" count="1" selected="0">
            <x v="144"/>
          </reference>
          <reference field="2" count="1">
            <x v="52"/>
          </reference>
        </references>
      </pivotArea>
    </format>
    <format dxfId="921">
      <pivotArea dataOnly="0" labelOnly="1" fieldPosition="0">
        <references count="2">
          <reference field="1" count="1" selected="0">
            <x v="145"/>
          </reference>
          <reference field="2" count="1">
            <x v="23"/>
          </reference>
        </references>
      </pivotArea>
    </format>
    <format dxfId="920">
      <pivotArea dataOnly="0" labelOnly="1" fieldPosition="0">
        <references count="2">
          <reference field="1" count="1" selected="0">
            <x v="146"/>
          </reference>
          <reference field="2" count="1">
            <x v="73"/>
          </reference>
        </references>
      </pivotArea>
    </format>
    <format dxfId="919">
      <pivotArea dataOnly="0" labelOnly="1" fieldPosition="0">
        <references count="2">
          <reference field="1" count="1" selected="0">
            <x v="147"/>
          </reference>
          <reference field="2" count="1">
            <x v="91"/>
          </reference>
        </references>
      </pivotArea>
    </format>
    <format dxfId="918">
      <pivotArea dataOnly="0" labelOnly="1" fieldPosition="0">
        <references count="2">
          <reference field="1" count="1" selected="0">
            <x v="148"/>
          </reference>
          <reference field="2" count="1">
            <x v="52"/>
          </reference>
        </references>
      </pivotArea>
    </format>
    <format dxfId="917">
      <pivotArea dataOnly="0" labelOnly="1" fieldPosition="0">
        <references count="2">
          <reference field="1" count="1" selected="0">
            <x v="149"/>
          </reference>
          <reference field="2" count="1">
            <x v="52"/>
          </reference>
        </references>
      </pivotArea>
    </format>
    <format dxfId="916">
      <pivotArea dataOnly="0" labelOnly="1" fieldPosition="0">
        <references count="2">
          <reference field="1" count="1" selected="0">
            <x v="150"/>
          </reference>
          <reference field="2" count="1">
            <x v="44"/>
          </reference>
        </references>
      </pivotArea>
    </format>
    <format dxfId="915">
      <pivotArea dataOnly="0" labelOnly="1" fieldPosition="0">
        <references count="2">
          <reference field="1" count="1" selected="0">
            <x v="151"/>
          </reference>
          <reference field="2" count="1">
            <x v="52"/>
          </reference>
        </references>
      </pivotArea>
    </format>
    <format dxfId="914">
      <pivotArea dataOnly="0" labelOnly="1" fieldPosition="0">
        <references count="2">
          <reference field="1" count="1" selected="0">
            <x v="152"/>
          </reference>
          <reference field="2" count="1">
            <x v="52"/>
          </reference>
        </references>
      </pivotArea>
    </format>
    <format dxfId="913">
      <pivotArea dataOnly="0" labelOnly="1" fieldPosition="0">
        <references count="2">
          <reference field="1" count="1" selected="0">
            <x v="153"/>
          </reference>
          <reference field="2" count="1">
            <x v="1"/>
          </reference>
        </references>
      </pivotArea>
    </format>
    <format dxfId="912">
      <pivotArea dataOnly="0" labelOnly="1" fieldPosition="0">
        <references count="2">
          <reference field="1" count="1" selected="0">
            <x v="154"/>
          </reference>
          <reference field="2" count="1">
            <x v="6"/>
          </reference>
        </references>
      </pivotArea>
    </format>
    <format dxfId="911">
      <pivotArea dataOnly="0" labelOnly="1" fieldPosition="0">
        <references count="2">
          <reference field="1" count="1" selected="0">
            <x v="155"/>
          </reference>
          <reference field="2" count="1">
            <x v="34"/>
          </reference>
        </references>
      </pivotArea>
    </format>
    <format dxfId="910">
      <pivotArea dataOnly="0" labelOnly="1" fieldPosition="0">
        <references count="2">
          <reference field="1" count="1" selected="0">
            <x v="156"/>
          </reference>
          <reference field="2" count="1">
            <x v="52"/>
          </reference>
        </references>
      </pivotArea>
    </format>
    <format dxfId="909">
      <pivotArea dataOnly="0" labelOnly="1" fieldPosition="0">
        <references count="2">
          <reference field="1" count="1" selected="0">
            <x v="157"/>
          </reference>
          <reference field="2" count="1">
            <x v="1"/>
          </reference>
        </references>
      </pivotArea>
    </format>
    <format dxfId="908">
      <pivotArea dataOnly="0" labelOnly="1" fieldPosition="0">
        <references count="2">
          <reference field="1" count="1" selected="0">
            <x v="158"/>
          </reference>
          <reference field="2" count="1">
            <x v="106"/>
          </reference>
        </references>
      </pivotArea>
    </format>
    <format dxfId="907">
      <pivotArea dataOnly="0" labelOnly="1" fieldPosition="0">
        <references count="2">
          <reference field="1" count="1" selected="0">
            <x v="159"/>
          </reference>
          <reference field="2" count="1">
            <x v="28"/>
          </reference>
        </references>
      </pivotArea>
    </format>
    <format dxfId="906">
      <pivotArea dataOnly="0" labelOnly="1" fieldPosition="0">
        <references count="2">
          <reference field="1" count="1" selected="0">
            <x v="160"/>
          </reference>
          <reference field="2" count="1">
            <x v="53"/>
          </reference>
        </references>
      </pivotArea>
    </format>
    <format dxfId="905">
      <pivotArea dataOnly="0" labelOnly="1" fieldPosition="0">
        <references count="2">
          <reference field="1" count="1" selected="0">
            <x v="161"/>
          </reference>
          <reference field="2" count="1">
            <x v="60"/>
          </reference>
        </references>
      </pivotArea>
    </format>
    <format dxfId="904">
      <pivotArea dataOnly="0" labelOnly="1" fieldPosition="0">
        <references count="2">
          <reference field="1" count="1" selected="0">
            <x v="162"/>
          </reference>
          <reference field="2" count="1">
            <x v="1"/>
          </reference>
        </references>
      </pivotArea>
    </format>
    <format dxfId="903">
      <pivotArea dataOnly="0" labelOnly="1" fieldPosition="0">
        <references count="2">
          <reference field="1" count="1" selected="0">
            <x v="163"/>
          </reference>
          <reference field="2" count="1">
            <x v="34"/>
          </reference>
        </references>
      </pivotArea>
    </format>
    <format dxfId="902">
      <pivotArea dataOnly="0" labelOnly="1" fieldPosition="0">
        <references count="2">
          <reference field="1" count="1" selected="0">
            <x v="164"/>
          </reference>
          <reference field="2" count="1">
            <x v="106"/>
          </reference>
        </references>
      </pivotArea>
    </format>
    <format dxfId="901">
      <pivotArea dataOnly="0" labelOnly="1" fieldPosition="0">
        <references count="2">
          <reference field="1" count="1" selected="0">
            <x v="165"/>
          </reference>
          <reference field="2" count="1">
            <x v="53"/>
          </reference>
        </references>
      </pivotArea>
    </format>
    <format dxfId="900">
      <pivotArea dataOnly="0" labelOnly="1" fieldPosition="0">
        <references count="2">
          <reference field="1" count="1" selected="0">
            <x v="166"/>
          </reference>
          <reference field="2" count="1">
            <x v="32"/>
          </reference>
        </references>
      </pivotArea>
    </format>
    <format dxfId="899">
      <pivotArea dataOnly="0" labelOnly="1" fieldPosition="0">
        <references count="2">
          <reference field="1" count="1" selected="0">
            <x v="167"/>
          </reference>
          <reference field="2" count="1">
            <x v="52"/>
          </reference>
        </references>
      </pivotArea>
    </format>
    <format dxfId="898">
      <pivotArea dataOnly="0" labelOnly="1" fieldPosition="0">
        <references count="2">
          <reference field="1" count="1" selected="0">
            <x v="168"/>
          </reference>
          <reference field="2" count="1">
            <x v="72"/>
          </reference>
        </references>
      </pivotArea>
    </format>
    <format dxfId="897">
      <pivotArea dataOnly="0" labelOnly="1" fieldPosition="0">
        <references count="2">
          <reference field="1" count="1" selected="0">
            <x v="169"/>
          </reference>
          <reference field="2" count="1">
            <x v="34"/>
          </reference>
        </references>
      </pivotArea>
    </format>
    <format dxfId="896">
      <pivotArea dataOnly="0" labelOnly="1" fieldPosition="0">
        <references count="2">
          <reference field="1" count="1" selected="0">
            <x v="170"/>
          </reference>
          <reference field="2" count="1">
            <x v="34"/>
          </reference>
        </references>
      </pivotArea>
    </format>
    <format dxfId="895">
      <pivotArea dataOnly="0" labelOnly="1" fieldPosition="0">
        <references count="2">
          <reference field="1" count="1" selected="0">
            <x v="171"/>
          </reference>
          <reference field="2" count="1">
            <x v="8"/>
          </reference>
        </references>
      </pivotArea>
    </format>
    <format dxfId="894">
      <pivotArea dataOnly="0" labelOnly="1" fieldPosition="0">
        <references count="2">
          <reference field="1" count="1" selected="0">
            <x v="172"/>
          </reference>
          <reference field="2" count="1">
            <x v="23"/>
          </reference>
        </references>
      </pivotArea>
    </format>
    <format dxfId="893">
      <pivotArea dataOnly="0" labelOnly="1" fieldPosition="0">
        <references count="2">
          <reference field="1" count="1" selected="0">
            <x v="173"/>
          </reference>
          <reference field="2" count="1">
            <x v="53"/>
          </reference>
        </references>
      </pivotArea>
    </format>
    <format dxfId="892">
      <pivotArea dataOnly="0" labelOnly="1" fieldPosition="0">
        <references count="2">
          <reference field="1" count="1" selected="0">
            <x v="174"/>
          </reference>
          <reference field="2" count="2">
            <x v="1"/>
            <x v="52"/>
          </reference>
        </references>
      </pivotArea>
    </format>
    <format dxfId="891">
      <pivotArea dataOnly="0" labelOnly="1" fieldPosition="0">
        <references count="2">
          <reference field="1" count="1" selected="0">
            <x v="175"/>
          </reference>
          <reference field="2" count="1">
            <x v="52"/>
          </reference>
        </references>
      </pivotArea>
    </format>
    <format dxfId="890">
      <pivotArea dataOnly="0" labelOnly="1" fieldPosition="0">
        <references count="2">
          <reference field="1" count="1" selected="0">
            <x v="176"/>
          </reference>
          <reference field="2" count="1">
            <x v="52"/>
          </reference>
        </references>
      </pivotArea>
    </format>
    <format dxfId="889">
      <pivotArea dataOnly="0" labelOnly="1" fieldPosition="0">
        <references count="2">
          <reference field="1" count="1" selected="0">
            <x v="177"/>
          </reference>
          <reference field="2" count="1">
            <x v="23"/>
          </reference>
        </references>
      </pivotArea>
    </format>
    <format dxfId="888">
      <pivotArea dataOnly="0" labelOnly="1" fieldPosition="0">
        <references count="2">
          <reference field="1" count="1" selected="0">
            <x v="178"/>
          </reference>
          <reference field="2" count="1">
            <x v="29"/>
          </reference>
        </references>
      </pivotArea>
    </format>
    <format dxfId="887">
      <pivotArea dataOnly="0" labelOnly="1" fieldPosition="0">
        <references count="2">
          <reference field="1" count="1" selected="0">
            <x v="179"/>
          </reference>
          <reference field="2" count="1">
            <x v="47"/>
          </reference>
        </references>
      </pivotArea>
    </format>
    <format dxfId="886">
      <pivotArea dataOnly="0" labelOnly="1" fieldPosition="0">
        <references count="2">
          <reference field="1" count="1" selected="0">
            <x v="180"/>
          </reference>
          <reference field="2" count="1">
            <x v="1"/>
          </reference>
        </references>
      </pivotArea>
    </format>
    <format dxfId="885">
      <pivotArea dataOnly="0" labelOnly="1" fieldPosition="0">
        <references count="2">
          <reference field="1" count="1" selected="0">
            <x v="181"/>
          </reference>
          <reference field="2" count="1">
            <x v="91"/>
          </reference>
        </references>
      </pivotArea>
    </format>
    <format dxfId="884">
      <pivotArea dataOnly="0" labelOnly="1" fieldPosition="0">
        <references count="2">
          <reference field="1" count="1" selected="0">
            <x v="182"/>
          </reference>
          <reference field="2" count="1">
            <x v="41"/>
          </reference>
        </references>
      </pivotArea>
    </format>
    <format dxfId="883">
      <pivotArea dataOnly="0" labelOnly="1" fieldPosition="0">
        <references count="2">
          <reference field="1" count="1" selected="0">
            <x v="183"/>
          </reference>
          <reference field="2" count="1">
            <x v="52"/>
          </reference>
        </references>
      </pivotArea>
    </format>
    <format dxfId="882">
      <pivotArea dataOnly="0" labelOnly="1" fieldPosition="0">
        <references count="2">
          <reference field="1" count="1" selected="0">
            <x v="184"/>
          </reference>
          <reference field="2" count="1">
            <x v="91"/>
          </reference>
        </references>
      </pivotArea>
    </format>
    <format dxfId="881">
      <pivotArea dataOnly="0" labelOnly="1" fieldPosition="0">
        <references count="2">
          <reference field="1" count="1" selected="0">
            <x v="185"/>
          </reference>
          <reference field="2" count="1">
            <x v="53"/>
          </reference>
        </references>
      </pivotArea>
    </format>
    <format dxfId="880">
      <pivotArea dataOnly="0" labelOnly="1" fieldPosition="0">
        <references count="2">
          <reference field="1" count="1" selected="0">
            <x v="186"/>
          </reference>
          <reference field="2" count="1">
            <x v="55"/>
          </reference>
        </references>
      </pivotArea>
    </format>
    <format dxfId="879">
      <pivotArea dataOnly="0" labelOnly="1" fieldPosition="0">
        <references count="2">
          <reference field="1" count="1" selected="0">
            <x v="187"/>
          </reference>
          <reference field="2" count="1">
            <x v="98"/>
          </reference>
        </references>
      </pivotArea>
    </format>
    <format dxfId="878">
      <pivotArea dataOnly="0" labelOnly="1" fieldPosition="0">
        <references count="2">
          <reference field="1" count="1" selected="0">
            <x v="188"/>
          </reference>
          <reference field="2" count="1">
            <x v="52"/>
          </reference>
        </references>
      </pivotArea>
    </format>
    <format dxfId="877">
      <pivotArea dataOnly="0" labelOnly="1" fieldPosition="0">
        <references count="2">
          <reference field="1" count="1" selected="0">
            <x v="189"/>
          </reference>
          <reference field="2" count="1">
            <x v="52"/>
          </reference>
        </references>
      </pivotArea>
    </format>
    <format dxfId="876">
      <pivotArea dataOnly="0" labelOnly="1" fieldPosition="0">
        <references count="2">
          <reference field="1" count="1" selected="0">
            <x v="190"/>
          </reference>
          <reference field="2" count="1">
            <x v="52"/>
          </reference>
        </references>
      </pivotArea>
    </format>
    <format dxfId="875">
      <pivotArea dataOnly="0" labelOnly="1" fieldPosition="0">
        <references count="2">
          <reference field="1" count="1" selected="0">
            <x v="191"/>
          </reference>
          <reference field="2" count="1">
            <x v="53"/>
          </reference>
        </references>
      </pivotArea>
    </format>
    <format dxfId="874">
      <pivotArea dataOnly="0" labelOnly="1" fieldPosition="0">
        <references count="2">
          <reference field="1" count="1" selected="0">
            <x v="192"/>
          </reference>
          <reference field="2" count="1">
            <x v="53"/>
          </reference>
        </references>
      </pivotArea>
    </format>
    <format dxfId="873">
      <pivotArea dataOnly="0" labelOnly="1" fieldPosition="0">
        <references count="2">
          <reference field="1" count="1" selected="0">
            <x v="193"/>
          </reference>
          <reference field="2" count="1">
            <x v="52"/>
          </reference>
        </references>
      </pivotArea>
    </format>
    <format dxfId="872">
      <pivotArea dataOnly="0" labelOnly="1" fieldPosition="0">
        <references count="2">
          <reference field="1" count="1" selected="0">
            <x v="194"/>
          </reference>
          <reference field="2" count="1">
            <x v="81"/>
          </reference>
        </references>
      </pivotArea>
    </format>
    <format dxfId="871">
      <pivotArea dataOnly="0" labelOnly="1" fieldPosition="0">
        <references count="2">
          <reference field="1" count="1" selected="0">
            <x v="195"/>
          </reference>
          <reference field="2" count="1">
            <x v="52"/>
          </reference>
        </references>
      </pivotArea>
    </format>
    <format dxfId="870">
      <pivotArea dataOnly="0" labelOnly="1" fieldPosition="0">
        <references count="2">
          <reference field="1" count="1" selected="0">
            <x v="196"/>
          </reference>
          <reference field="2" count="1">
            <x v="34"/>
          </reference>
        </references>
      </pivotArea>
    </format>
    <format dxfId="869">
      <pivotArea dataOnly="0" labelOnly="1" fieldPosition="0">
        <references count="2">
          <reference field="1" count="1" selected="0">
            <x v="197"/>
          </reference>
          <reference field="2" count="1">
            <x v="53"/>
          </reference>
        </references>
      </pivotArea>
    </format>
    <format dxfId="868">
      <pivotArea dataOnly="0" labelOnly="1" fieldPosition="0">
        <references count="2">
          <reference field="1" count="1" selected="0">
            <x v="198"/>
          </reference>
          <reference field="2" count="1">
            <x v="53"/>
          </reference>
        </references>
      </pivotArea>
    </format>
    <format dxfId="867">
      <pivotArea dataOnly="0" labelOnly="1" fieldPosition="0">
        <references count="2">
          <reference field="1" count="1" selected="0">
            <x v="199"/>
          </reference>
          <reference field="2" count="1">
            <x v="23"/>
          </reference>
        </references>
      </pivotArea>
    </format>
    <format dxfId="866">
      <pivotArea dataOnly="0" labelOnly="1" fieldPosition="0">
        <references count="2">
          <reference field="1" count="1" selected="0">
            <x v="200"/>
          </reference>
          <reference field="2" count="1">
            <x v="23"/>
          </reference>
        </references>
      </pivotArea>
    </format>
    <format dxfId="865">
      <pivotArea dataOnly="0" labelOnly="1" fieldPosition="0">
        <references count="2">
          <reference field="1" count="1" selected="0">
            <x v="201"/>
          </reference>
          <reference field="2" count="1">
            <x v="23"/>
          </reference>
        </references>
      </pivotArea>
    </format>
    <format dxfId="864">
      <pivotArea dataOnly="0" labelOnly="1" fieldPosition="0">
        <references count="2">
          <reference field="1" count="1" selected="0">
            <x v="202"/>
          </reference>
          <reference field="2" count="1">
            <x v="52"/>
          </reference>
        </references>
      </pivotArea>
    </format>
    <format dxfId="863">
      <pivotArea dataOnly="0" labelOnly="1" fieldPosition="0">
        <references count="2">
          <reference field="1" count="1" selected="0">
            <x v="203"/>
          </reference>
          <reference field="2" count="1">
            <x v="1"/>
          </reference>
        </references>
      </pivotArea>
    </format>
    <format dxfId="862">
      <pivotArea dataOnly="0" labelOnly="1" fieldPosition="0">
        <references count="2">
          <reference field="1" count="1" selected="0">
            <x v="204"/>
          </reference>
          <reference field="2" count="1">
            <x v="66"/>
          </reference>
        </references>
      </pivotArea>
    </format>
    <format dxfId="861">
      <pivotArea dataOnly="0" labelOnly="1" fieldPosition="0">
        <references count="2">
          <reference field="1" count="1" selected="0">
            <x v="205"/>
          </reference>
          <reference field="2" count="1">
            <x v="52"/>
          </reference>
        </references>
      </pivotArea>
    </format>
    <format dxfId="860">
      <pivotArea dataOnly="0" labelOnly="1" fieldPosition="0">
        <references count="2">
          <reference field="1" count="1" selected="0">
            <x v="206"/>
          </reference>
          <reference field="2" count="1">
            <x v="31"/>
          </reference>
        </references>
      </pivotArea>
    </format>
    <format dxfId="859">
      <pivotArea dataOnly="0" labelOnly="1" fieldPosition="0">
        <references count="2">
          <reference field="1" count="1" selected="0">
            <x v="207"/>
          </reference>
          <reference field="2" count="1">
            <x v="53"/>
          </reference>
        </references>
      </pivotArea>
    </format>
    <format dxfId="858">
      <pivotArea dataOnly="0" labelOnly="1" fieldPosition="0">
        <references count="2">
          <reference field="1" count="1" selected="0">
            <x v="208"/>
          </reference>
          <reference field="2" count="1">
            <x v="8"/>
          </reference>
        </references>
      </pivotArea>
    </format>
    <format dxfId="857">
      <pivotArea dataOnly="0" labelOnly="1" fieldPosition="0">
        <references count="2">
          <reference field="1" count="1" selected="0">
            <x v="209"/>
          </reference>
          <reference field="2" count="1">
            <x v="52"/>
          </reference>
        </references>
      </pivotArea>
    </format>
    <format dxfId="856">
      <pivotArea dataOnly="0" labelOnly="1" fieldPosition="0">
        <references count="2">
          <reference field="1" count="1" selected="0">
            <x v="210"/>
          </reference>
          <reference field="2" count="1">
            <x v="104"/>
          </reference>
        </references>
      </pivotArea>
    </format>
    <format dxfId="855">
      <pivotArea dataOnly="0" labelOnly="1" fieldPosition="0">
        <references count="2">
          <reference field="1" count="1" selected="0">
            <x v="211"/>
          </reference>
          <reference field="2" count="1">
            <x v="53"/>
          </reference>
        </references>
      </pivotArea>
    </format>
    <format dxfId="854">
      <pivotArea dataOnly="0" labelOnly="1" fieldPosition="0">
        <references count="2">
          <reference field="1" count="1" selected="0">
            <x v="212"/>
          </reference>
          <reference field="2" count="1">
            <x v="53"/>
          </reference>
        </references>
      </pivotArea>
    </format>
    <format dxfId="853">
      <pivotArea dataOnly="0" labelOnly="1" fieldPosition="0">
        <references count="2">
          <reference field="1" count="1" selected="0">
            <x v="213"/>
          </reference>
          <reference field="2" count="1">
            <x v="93"/>
          </reference>
        </references>
      </pivotArea>
    </format>
    <format dxfId="852">
      <pivotArea dataOnly="0" labelOnly="1" fieldPosition="0">
        <references count="2">
          <reference field="1" count="1" selected="0">
            <x v="214"/>
          </reference>
          <reference field="2" count="1">
            <x v="66"/>
          </reference>
        </references>
      </pivotArea>
    </format>
    <format dxfId="851">
      <pivotArea dataOnly="0" labelOnly="1" fieldPosition="0">
        <references count="2">
          <reference field="1" count="1" selected="0">
            <x v="215"/>
          </reference>
          <reference field="2" count="1">
            <x v="52"/>
          </reference>
        </references>
      </pivotArea>
    </format>
    <format dxfId="850">
      <pivotArea dataOnly="0" labelOnly="1" fieldPosition="0">
        <references count="2">
          <reference field="1" count="1" selected="0">
            <x v="216"/>
          </reference>
          <reference field="2" count="1">
            <x v="45"/>
          </reference>
        </references>
      </pivotArea>
    </format>
    <format dxfId="849">
      <pivotArea dataOnly="0" labelOnly="1" fieldPosition="0">
        <references count="2">
          <reference field="1" count="1" selected="0">
            <x v="217"/>
          </reference>
          <reference field="2" count="1">
            <x v="52"/>
          </reference>
        </references>
      </pivotArea>
    </format>
    <format dxfId="848">
      <pivotArea dataOnly="0" labelOnly="1" fieldPosition="0">
        <references count="2">
          <reference field="1" count="1" selected="0">
            <x v="218"/>
          </reference>
          <reference field="2" count="1">
            <x v="52"/>
          </reference>
        </references>
      </pivotArea>
    </format>
    <format dxfId="847">
      <pivotArea dataOnly="0" labelOnly="1" fieldPosition="0">
        <references count="2">
          <reference field="1" count="1" selected="0">
            <x v="219"/>
          </reference>
          <reference field="2" count="1">
            <x v="52"/>
          </reference>
        </references>
      </pivotArea>
    </format>
    <format dxfId="846">
      <pivotArea dataOnly="0" labelOnly="1" fieldPosition="0">
        <references count="2">
          <reference field="1" count="1" selected="0">
            <x v="220"/>
          </reference>
          <reference field="2" count="1">
            <x v="1"/>
          </reference>
        </references>
      </pivotArea>
    </format>
    <format dxfId="845">
      <pivotArea dataOnly="0" labelOnly="1" fieldPosition="0">
        <references count="2">
          <reference field="1" count="1" selected="0">
            <x v="221"/>
          </reference>
          <reference field="2" count="1">
            <x v="53"/>
          </reference>
        </references>
      </pivotArea>
    </format>
    <format dxfId="844">
      <pivotArea dataOnly="0" labelOnly="1" fieldPosition="0">
        <references count="2">
          <reference field="1" count="1" selected="0">
            <x v="222"/>
          </reference>
          <reference field="2" count="1">
            <x v="52"/>
          </reference>
        </references>
      </pivotArea>
    </format>
    <format dxfId="843">
      <pivotArea dataOnly="0" labelOnly="1" fieldPosition="0">
        <references count="2">
          <reference field="1" count="1" selected="0">
            <x v="223"/>
          </reference>
          <reference field="2" count="1">
            <x v="53"/>
          </reference>
        </references>
      </pivotArea>
    </format>
    <format dxfId="842">
      <pivotArea dataOnly="0" labelOnly="1" fieldPosition="0">
        <references count="2">
          <reference field="1" count="1" selected="0">
            <x v="224"/>
          </reference>
          <reference field="2" count="1">
            <x v="74"/>
          </reference>
        </references>
      </pivotArea>
    </format>
    <format dxfId="841">
      <pivotArea dataOnly="0" labelOnly="1" fieldPosition="0">
        <references count="2">
          <reference field="1" count="1" selected="0">
            <x v="225"/>
          </reference>
          <reference field="2" count="1">
            <x v="43"/>
          </reference>
        </references>
      </pivotArea>
    </format>
    <format dxfId="840">
      <pivotArea dataOnly="0" labelOnly="1" fieldPosition="0">
        <references count="2">
          <reference field="1" count="1" selected="0">
            <x v="226"/>
          </reference>
          <reference field="2" count="1">
            <x v="1"/>
          </reference>
        </references>
      </pivotArea>
    </format>
    <format dxfId="839">
      <pivotArea dataOnly="0" labelOnly="1" fieldPosition="0">
        <references count="2">
          <reference field="1" count="1" selected="0">
            <x v="227"/>
          </reference>
          <reference field="2" count="1">
            <x v="1"/>
          </reference>
        </references>
      </pivotArea>
    </format>
    <format dxfId="838">
      <pivotArea dataOnly="0" labelOnly="1" fieldPosition="0">
        <references count="2">
          <reference field="1" count="1" selected="0">
            <x v="228"/>
          </reference>
          <reference field="2" count="1">
            <x v="96"/>
          </reference>
        </references>
      </pivotArea>
    </format>
    <format dxfId="837">
      <pivotArea dataOnly="0" labelOnly="1" fieldPosition="0">
        <references count="2">
          <reference field="1" count="1" selected="0">
            <x v="229"/>
          </reference>
          <reference field="2" count="1">
            <x v="18"/>
          </reference>
        </references>
      </pivotArea>
    </format>
    <format dxfId="836">
      <pivotArea dataOnly="0" labelOnly="1" fieldPosition="0">
        <references count="2">
          <reference field="1" count="1" selected="0">
            <x v="230"/>
          </reference>
          <reference field="2" count="1">
            <x v="55"/>
          </reference>
        </references>
      </pivotArea>
    </format>
    <format dxfId="835">
      <pivotArea dataOnly="0" labelOnly="1" fieldPosition="0">
        <references count="2">
          <reference field="1" count="1" selected="0">
            <x v="231"/>
          </reference>
          <reference field="2" count="1">
            <x v="52"/>
          </reference>
        </references>
      </pivotArea>
    </format>
    <format dxfId="834">
      <pivotArea dataOnly="0" labelOnly="1" fieldPosition="0">
        <references count="2">
          <reference field="1" count="1" selected="0">
            <x v="232"/>
          </reference>
          <reference field="2" count="1">
            <x v="53"/>
          </reference>
        </references>
      </pivotArea>
    </format>
    <format dxfId="833">
      <pivotArea dataOnly="0" labelOnly="1" fieldPosition="0">
        <references count="2">
          <reference field="1" count="1" selected="0">
            <x v="233"/>
          </reference>
          <reference field="2" count="1">
            <x v="34"/>
          </reference>
        </references>
      </pivotArea>
    </format>
    <format dxfId="832">
      <pivotArea dataOnly="0" labelOnly="1" fieldPosition="0">
        <references count="2">
          <reference field="1" count="1" selected="0">
            <x v="234"/>
          </reference>
          <reference field="2" count="1">
            <x v="1"/>
          </reference>
        </references>
      </pivotArea>
    </format>
    <format dxfId="831">
      <pivotArea dataOnly="0" labelOnly="1" fieldPosition="0">
        <references count="2">
          <reference field="1" count="1" selected="0">
            <x v="235"/>
          </reference>
          <reference field="2" count="1">
            <x v="53"/>
          </reference>
        </references>
      </pivotArea>
    </format>
    <format dxfId="830">
      <pivotArea dataOnly="0" labelOnly="1" fieldPosition="0">
        <references count="2">
          <reference field="1" count="1" selected="0">
            <x v="236"/>
          </reference>
          <reference field="2" count="1">
            <x v="1"/>
          </reference>
        </references>
      </pivotArea>
    </format>
    <format dxfId="829">
      <pivotArea dataOnly="0" labelOnly="1" fieldPosition="0">
        <references count="2">
          <reference field="1" count="1" selected="0">
            <x v="237"/>
          </reference>
          <reference field="2" count="1">
            <x v="52"/>
          </reference>
        </references>
      </pivotArea>
    </format>
    <format dxfId="828">
      <pivotArea dataOnly="0" labelOnly="1" fieldPosition="0">
        <references count="2">
          <reference field="1" count="1" selected="0">
            <x v="238"/>
          </reference>
          <reference field="2" count="1">
            <x v="52"/>
          </reference>
        </references>
      </pivotArea>
    </format>
    <format dxfId="827">
      <pivotArea dataOnly="0" labelOnly="1" fieldPosition="0">
        <references count="2">
          <reference field="1" count="1" selected="0">
            <x v="239"/>
          </reference>
          <reference field="2" count="1">
            <x v="23"/>
          </reference>
        </references>
      </pivotArea>
    </format>
    <format dxfId="826">
      <pivotArea dataOnly="0" labelOnly="1" fieldPosition="0">
        <references count="2">
          <reference field="1" count="1" selected="0">
            <x v="240"/>
          </reference>
          <reference field="2" count="1">
            <x v="34"/>
          </reference>
        </references>
      </pivotArea>
    </format>
    <format dxfId="825">
      <pivotArea dataOnly="0" labelOnly="1" fieldPosition="0">
        <references count="2">
          <reference field="1" count="1" selected="0">
            <x v="241"/>
          </reference>
          <reference field="2" count="1">
            <x v="34"/>
          </reference>
        </references>
      </pivotArea>
    </format>
    <format dxfId="824">
      <pivotArea dataOnly="0" labelOnly="1" fieldPosition="0">
        <references count="2">
          <reference field="1" count="1" selected="0">
            <x v="242"/>
          </reference>
          <reference field="2" count="1">
            <x v="23"/>
          </reference>
        </references>
      </pivotArea>
    </format>
    <format dxfId="823">
      <pivotArea dataOnly="0" labelOnly="1" fieldPosition="0">
        <references count="2">
          <reference field="1" count="1" selected="0">
            <x v="243"/>
          </reference>
          <reference field="2" count="1">
            <x v="53"/>
          </reference>
        </references>
      </pivotArea>
    </format>
    <format dxfId="822">
      <pivotArea dataOnly="0" labelOnly="1" fieldPosition="0">
        <references count="2">
          <reference field="1" count="1" selected="0">
            <x v="244"/>
          </reference>
          <reference field="2" count="1">
            <x v="34"/>
          </reference>
        </references>
      </pivotArea>
    </format>
    <format dxfId="821">
      <pivotArea dataOnly="0" labelOnly="1" fieldPosition="0">
        <references count="2">
          <reference field="1" count="1" selected="0">
            <x v="245"/>
          </reference>
          <reference field="2" count="1">
            <x v="65"/>
          </reference>
        </references>
      </pivotArea>
    </format>
    <format dxfId="820">
      <pivotArea dataOnly="0" labelOnly="1" fieldPosition="0">
        <references count="2">
          <reference field="1" count="1" selected="0">
            <x v="246"/>
          </reference>
          <reference field="2" count="1">
            <x v="23"/>
          </reference>
        </references>
      </pivotArea>
    </format>
    <format dxfId="819">
      <pivotArea dataOnly="0" labelOnly="1" fieldPosition="0">
        <references count="2">
          <reference field="1" count="1" selected="0">
            <x v="247"/>
          </reference>
          <reference field="2" count="1">
            <x v="6"/>
          </reference>
        </references>
      </pivotArea>
    </format>
    <format dxfId="818">
      <pivotArea dataOnly="0" labelOnly="1" fieldPosition="0">
        <references count="2">
          <reference field="1" count="1" selected="0">
            <x v="248"/>
          </reference>
          <reference field="2" count="1">
            <x v="23"/>
          </reference>
        </references>
      </pivotArea>
    </format>
    <format dxfId="817">
      <pivotArea dataOnly="0" labelOnly="1" fieldPosition="0">
        <references count="2">
          <reference field="1" count="1" selected="0">
            <x v="249"/>
          </reference>
          <reference field="2" count="1">
            <x v="86"/>
          </reference>
        </references>
      </pivotArea>
    </format>
    <format dxfId="816">
      <pivotArea dataOnly="0" labelOnly="1" fieldPosition="0">
        <references count="2">
          <reference field="1" count="1" selected="0">
            <x v="250"/>
          </reference>
          <reference field="2" count="1">
            <x v="11"/>
          </reference>
        </references>
      </pivotArea>
    </format>
    <format dxfId="815">
      <pivotArea dataOnly="0" labelOnly="1" fieldPosition="0">
        <references count="2">
          <reference field="1" count="1" selected="0">
            <x v="251"/>
          </reference>
          <reference field="2" count="1">
            <x v="53"/>
          </reference>
        </references>
      </pivotArea>
    </format>
    <format dxfId="814">
      <pivotArea dataOnly="0" labelOnly="1" fieldPosition="0">
        <references count="2">
          <reference field="1" count="1" selected="0">
            <x v="252"/>
          </reference>
          <reference field="2" count="1">
            <x v="34"/>
          </reference>
        </references>
      </pivotArea>
    </format>
    <format dxfId="813">
      <pivotArea dataOnly="0" labelOnly="1" fieldPosition="0">
        <references count="2">
          <reference field="1" count="1" selected="0">
            <x v="253"/>
          </reference>
          <reference field="2" count="1">
            <x v="34"/>
          </reference>
        </references>
      </pivotArea>
    </format>
    <format dxfId="812">
      <pivotArea dataOnly="0" labelOnly="1" fieldPosition="0">
        <references count="2">
          <reference field="1" count="1" selected="0">
            <x v="254"/>
          </reference>
          <reference field="2" count="1">
            <x v="101"/>
          </reference>
        </references>
      </pivotArea>
    </format>
    <format dxfId="811">
      <pivotArea dataOnly="0" labelOnly="1" fieldPosition="0">
        <references count="2">
          <reference field="1" count="1" selected="0">
            <x v="255"/>
          </reference>
          <reference field="2" count="1">
            <x v="0"/>
          </reference>
        </references>
      </pivotArea>
    </format>
    <format dxfId="810">
      <pivotArea dataOnly="0" labelOnly="1" fieldPosition="0">
        <references count="2">
          <reference field="1" count="1" selected="0">
            <x v="256"/>
          </reference>
          <reference field="2" count="1">
            <x v="34"/>
          </reference>
        </references>
      </pivotArea>
    </format>
    <format dxfId="809">
      <pivotArea dataOnly="0" labelOnly="1" fieldPosition="0">
        <references count="2">
          <reference field="1" count="1" selected="0">
            <x v="257"/>
          </reference>
          <reference field="2" count="1">
            <x v="34"/>
          </reference>
        </references>
      </pivotArea>
    </format>
    <format dxfId="808">
      <pivotArea dataOnly="0" labelOnly="1" fieldPosition="0">
        <references count="2">
          <reference field="1" count="1" selected="0">
            <x v="258"/>
          </reference>
          <reference field="2" count="1">
            <x v="43"/>
          </reference>
        </references>
      </pivotArea>
    </format>
    <format dxfId="807">
      <pivotArea dataOnly="0" labelOnly="1" fieldPosition="0">
        <references count="2">
          <reference field="1" count="1" selected="0">
            <x v="259"/>
          </reference>
          <reference field="2" count="1">
            <x v="66"/>
          </reference>
        </references>
      </pivotArea>
    </format>
    <format dxfId="806">
      <pivotArea dataOnly="0" labelOnly="1" fieldPosition="0">
        <references count="2">
          <reference field="1" count="1" selected="0">
            <x v="260"/>
          </reference>
          <reference field="2" count="1">
            <x v="24"/>
          </reference>
        </references>
      </pivotArea>
    </format>
    <format dxfId="805">
      <pivotArea dataOnly="0" labelOnly="1" fieldPosition="0">
        <references count="2">
          <reference field="1" count="1" selected="0">
            <x v="261"/>
          </reference>
          <reference field="2" count="1">
            <x v="81"/>
          </reference>
        </references>
      </pivotArea>
    </format>
    <format dxfId="804">
      <pivotArea dataOnly="0" labelOnly="1" fieldPosition="0">
        <references count="2">
          <reference field="1" count="1" selected="0">
            <x v="262"/>
          </reference>
          <reference field="2" count="1">
            <x v="34"/>
          </reference>
        </references>
      </pivotArea>
    </format>
    <format dxfId="803">
      <pivotArea dataOnly="0" labelOnly="1" fieldPosition="0">
        <references count="2">
          <reference field="1" count="1" selected="0">
            <x v="263"/>
          </reference>
          <reference field="2" count="1">
            <x v="23"/>
          </reference>
        </references>
      </pivotArea>
    </format>
    <format dxfId="802">
      <pivotArea dataOnly="0" labelOnly="1" fieldPosition="0">
        <references count="2">
          <reference field="1" count="1" selected="0">
            <x v="264"/>
          </reference>
          <reference field="2" count="1">
            <x v="53"/>
          </reference>
        </references>
      </pivotArea>
    </format>
    <format dxfId="801">
      <pivotArea dataOnly="0" labelOnly="1" fieldPosition="0">
        <references count="2">
          <reference field="1" count="1" selected="0">
            <x v="265"/>
          </reference>
          <reference field="2" count="1">
            <x v="34"/>
          </reference>
        </references>
      </pivotArea>
    </format>
    <format dxfId="800">
      <pivotArea dataOnly="0" labelOnly="1" fieldPosition="0">
        <references count="2">
          <reference field="1" count="1" selected="0">
            <x v="266"/>
          </reference>
          <reference field="2" count="1">
            <x v="1"/>
          </reference>
        </references>
      </pivotArea>
    </format>
    <format dxfId="799">
      <pivotArea dataOnly="0" labelOnly="1" fieldPosition="0">
        <references count="2">
          <reference field="1" count="1" selected="0">
            <x v="267"/>
          </reference>
          <reference field="2" count="1">
            <x v="52"/>
          </reference>
        </references>
      </pivotArea>
    </format>
    <format dxfId="798">
      <pivotArea dataOnly="0" labelOnly="1" fieldPosition="0">
        <references count="2">
          <reference field="1" count="1" selected="0">
            <x v="268"/>
          </reference>
          <reference field="2" count="1">
            <x v="34"/>
          </reference>
        </references>
      </pivotArea>
    </format>
    <format dxfId="797">
      <pivotArea dataOnly="0" labelOnly="1" fieldPosition="0">
        <references count="2">
          <reference field="1" count="1" selected="0">
            <x v="269"/>
          </reference>
          <reference field="2" count="2">
            <x v="23"/>
            <x v="34"/>
          </reference>
        </references>
      </pivotArea>
    </format>
    <format dxfId="796">
      <pivotArea dataOnly="0" labelOnly="1" fieldPosition="0">
        <references count="2">
          <reference field="1" count="1" selected="0">
            <x v="270"/>
          </reference>
          <reference field="2" count="1">
            <x v="73"/>
          </reference>
        </references>
      </pivotArea>
    </format>
    <format dxfId="795">
      <pivotArea dataOnly="0" labelOnly="1" fieldPosition="0">
        <references count="2">
          <reference field="1" count="1" selected="0">
            <x v="271"/>
          </reference>
          <reference field="2" count="1">
            <x v="23"/>
          </reference>
        </references>
      </pivotArea>
    </format>
    <format dxfId="794">
      <pivotArea dataOnly="0" labelOnly="1" fieldPosition="0">
        <references count="2">
          <reference field="1" count="1" selected="0">
            <x v="272"/>
          </reference>
          <reference field="2" count="1">
            <x v="37"/>
          </reference>
        </references>
      </pivotArea>
    </format>
    <format dxfId="793">
      <pivotArea dataOnly="0" labelOnly="1" fieldPosition="0">
        <references count="2">
          <reference field="1" count="1" selected="0">
            <x v="273"/>
          </reference>
          <reference field="2" count="1">
            <x v="35"/>
          </reference>
        </references>
      </pivotArea>
    </format>
    <format dxfId="792">
      <pivotArea dataOnly="0" labelOnly="1" fieldPosition="0">
        <references count="2">
          <reference field="1" count="1" selected="0">
            <x v="274"/>
          </reference>
          <reference field="2" count="1">
            <x v="89"/>
          </reference>
        </references>
      </pivotArea>
    </format>
    <format dxfId="791">
      <pivotArea dataOnly="0" labelOnly="1" fieldPosition="0">
        <references count="2">
          <reference field="1" count="1" selected="0">
            <x v="275"/>
          </reference>
          <reference field="2" count="1">
            <x v="9"/>
          </reference>
        </references>
      </pivotArea>
    </format>
    <format dxfId="790">
      <pivotArea dataOnly="0" labelOnly="1" fieldPosition="0">
        <references count="2">
          <reference field="1" count="1" selected="0">
            <x v="276"/>
          </reference>
          <reference field="2" count="1">
            <x v="53"/>
          </reference>
        </references>
      </pivotArea>
    </format>
    <format dxfId="789">
      <pivotArea dataOnly="0" labelOnly="1" fieldPosition="0">
        <references count="2">
          <reference field="1" count="1" selected="0">
            <x v="277"/>
          </reference>
          <reference field="2" count="1">
            <x v="87"/>
          </reference>
        </references>
      </pivotArea>
    </format>
    <format dxfId="788">
      <pivotArea dataOnly="0" labelOnly="1" fieldPosition="0">
        <references count="2">
          <reference field="1" count="1" selected="0">
            <x v="278"/>
          </reference>
          <reference field="2" count="1">
            <x v="55"/>
          </reference>
        </references>
      </pivotArea>
    </format>
    <format dxfId="787">
      <pivotArea dataOnly="0" labelOnly="1" fieldPosition="0">
        <references count="2">
          <reference field="1" count="1" selected="0">
            <x v="279"/>
          </reference>
          <reference field="2" count="1">
            <x v="14"/>
          </reference>
        </references>
      </pivotArea>
    </format>
    <format dxfId="786">
      <pivotArea dataOnly="0" labelOnly="1" fieldPosition="0">
        <references count="2">
          <reference field="1" count="1" selected="0">
            <x v="280"/>
          </reference>
          <reference field="2" count="1">
            <x v="63"/>
          </reference>
        </references>
      </pivotArea>
    </format>
    <format dxfId="785">
      <pivotArea dataOnly="0" labelOnly="1" fieldPosition="0">
        <references count="2">
          <reference field="1" count="1" selected="0">
            <x v="281"/>
          </reference>
          <reference field="2" count="1">
            <x v="1"/>
          </reference>
        </references>
      </pivotArea>
    </format>
    <format dxfId="784">
      <pivotArea dataOnly="0" labelOnly="1" fieldPosition="0">
        <references count="2">
          <reference field="1" count="1" selected="0">
            <x v="282"/>
          </reference>
          <reference field="2" count="1">
            <x v="52"/>
          </reference>
        </references>
      </pivotArea>
    </format>
    <format dxfId="783">
      <pivotArea dataOnly="0" labelOnly="1" fieldPosition="0">
        <references count="2">
          <reference field="1" count="1" selected="0">
            <x v="283"/>
          </reference>
          <reference field="2" count="1">
            <x v="85"/>
          </reference>
        </references>
      </pivotArea>
    </format>
    <format dxfId="782">
      <pivotArea dataOnly="0" labelOnly="1" fieldPosition="0">
        <references count="2">
          <reference field="1" count="1" selected="0">
            <x v="284"/>
          </reference>
          <reference field="2" count="1">
            <x v="91"/>
          </reference>
        </references>
      </pivotArea>
    </format>
    <format dxfId="781">
      <pivotArea dataOnly="0" labelOnly="1" fieldPosition="0">
        <references count="2">
          <reference field="1" count="1" selected="0">
            <x v="285"/>
          </reference>
          <reference field="2" count="1">
            <x v="28"/>
          </reference>
        </references>
      </pivotArea>
    </format>
    <format dxfId="780">
      <pivotArea dataOnly="0" labelOnly="1" fieldPosition="0">
        <references count="2">
          <reference field="1" count="1" selected="0">
            <x v="286"/>
          </reference>
          <reference field="2" count="1">
            <x v="23"/>
          </reference>
        </references>
      </pivotArea>
    </format>
    <format dxfId="779">
      <pivotArea dataOnly="0" labelOnly="1" fieldPosition="0">
        <references count="2">
          <reference field="1" count="1" selected="0">
            <x v="287"/>
          </reference>
          <reference field="2" count="1">
            <x v="1"/>
          </reference>
        </references>
      </pivotArea>
    </format>
    <format dxfId="778">
      <pivotArea dataOnly="0" labelOnly="1" fieldPosition="0">
        <references count="2">
          <reference field="1" count="1" selected="0">
            <x v="288"/>
          </reference>
          <reference field="2" count="1">
            <x v="8"/>
          </reference>
        </references>
      </pivotArea>
    </format>
    <format dxfId="777">
      <pivotArea dataOnly="0" labelOnly="1" fieldPosition="0">
        <references count="2">
          <reference field="1" count="1" selected="0">
            <x v="289"/>
          </reference>
          <reference field="2" count="1">
            <x v="53"/>
          </reference>
        </references>
      </pivotArea>
    </format>
    <format dxfId="776">
      <pivotArea dataOnly="0" labelOnly="1" fieldPosition="0">
        <references count="2">
          <reference field="1" count="1" selected="0">
            <x v="290"/>
          </reference>
          <reference field="2" count="1">
            <x v="52"/>
          </reference>
        </references>
      </pivotArea>
    </format>
    <format dxfId="775">
      <pivotArea dataOnly="0" labelOnly="1" fieldPosition="0">
        <references count="2">
          <reference field="1" count="1" selected="0">
            <x v="291"/>
          </reference>
          <reference field="2" count="1">
            <x v="53"/>
          </reference>
        </references>
      </pivotArea>
    </format>
    <format dxfId="774">
      <pivotArea dataOnly="0" labelOnly="1" fieldPosition="0">
        <references count="2">
          <reference field="1" count="1" selected="0">
            <x v="292"/>
          </reference>
          <reference field="2" count="1">
            <x v="23"/>
          </reference>
        </references>
      </pivotArea>
    </format>
    <format dxfId="773">
      <pivotArea dataOnly="0" labelOnly="1" fieldPosition="0">
        <references count="2">
          <reference field="1" count="1" selected="0">
            <x v="293"/>
          </reference>
          <reference field="2" count="1">
            <x v="34"/>
          </reference>
        </references>
      </pivotArea>
    </format>
    <format dxfId="772">
      <pivotArea dataOnly="0" labelOnly="1" fieldPosition="0">
        <references count="2">
          <reference field="1" count="1" selected="0">
            <x v="294"/>
          </reference>
          <reference field="2" count="1">
            <x v="1"/>
          </reference>
        </references>
      </pivotArea>
    </format>
    <format dxfId="771">
      <pivotArea dataOnly="0" labelOnly="1" fieldPosition="0">
        <references count="2">
          <reference field="1" count="1" selected="0">
            <x v="295"/>
          </reference>
          <reference field="2" count="1">
            <x v="56"/>
          </reference>
        </references>
      </pivotArea>
    </format>
    <format dxfId="770">
      <pivotArea dataOnly="0" labelOnly="1" fieldPosition="0">
        <references count="2">
          <reference field="1" count="1" selected="0">
            <x v="296"/>
          </reference>
          <reference field="2" count="1">
            <x v="34"/>
          </reference>
        </references>
      </pivotArea>
    </format>
    <format dxfId="769">
      <pivotArea dataOnly="0" labelOnly="1" fieldPosition="0">
        <references count="2">
          <reference field="1" count="1" selected="0">
            <x v="297"/>
          </reference>
          <reference field="2" count="1">
            <x v="23"/>
          </reference>
        </references>
      </pivotArea>
    </format>
    <format dxfId="768">
      <pivotArea dataOnly="0" labelOnly="1" fieldPosition="0">
        <references count="2">
          <reference field="1" count="1" selected="0">
            <x v="298"/>
          </reference>
          <reference field="2" count="2">
            <x v="12"/>
            <x v="52"/>
          </reference>
        </references>
      </pivotArea>
    </format>
    <format dxfId="767">
      <pivotArea dataOnly="0" labelOnly="1" fieldPosition="0">
        <references count="2">
          <reference field="1" count="1" selected="0">
            <x v="299"/>
          </reference>
          <reference field="2" count="1">
            <x v="34"/>
          </reference>
        </references>
      </pivotArea>
    </format>
    <format dxfId="766">
      <pivotArea dataOnly="0" labelOnly="1" fieldPosition="0">
        <references count="2">
          <reference field="1" count="1" selected="0">
            <x v="300"/>
          </reference>
          <reference field="2" count="1">
            <x v="34"/>
          </reference>
        </references>
      </pivotArea>
    </format>
    <format dxfId="765">
      <pivotArea dataOnly="0" labelOnly="1" fieldPosition="0">
        <references count="2">
          <reference field="1" count="1" selected="0">
            <x v="301"/>
          </reference>
          <reference field="2" count="1">
            <x v="1"/>
          </reference>
        </references>
      </pivotArea>
    </format>
    <format dxfId="764">
      <pivotArea dataOnly="0" labelOnly="1" fieldPosition="0">
        <references count="2">
          <reference field="1" count="1" selected="0">
            <x v="302"/>
          </reference>
          <reference field="2" count="1">
            <x v="73"/>
          </reference>
        </references>
      </pivotArea>
    </format>
    <format dxfId="763">
      <pivotArea dataOnly="0" labelOnly="1" fieldPosition="0">
        <references count="2">
          <reference field="1" count="1" selected="0">
            <x v="303"/>
          </reference>
          <reference field="2" count="1">
            <x v="52"/>
          </reference>
        </references>
      </pivotArea>
    </format>
    <format dxfId="762">
      <pivotArea dataOnly="0" labelOnly="1" fieldPosition="0">
        <references count="2">
          <reference field="1" count="1" selected="0">
            <x v="304"/>
          </reference>
          <reference field="2" count="1">
            <x v="66"/>
          </reference>
        </references>
      </pivotArea>
    </format>
    <format dxfId="761">
      <pivotArea dataOnly="0" labelOnly="1" fieldPosition="0">
        <references count="2">
          <reference field="1" count="1" selected="0">
            <x v="305"/>
          </reference>
          <reference field="2" count="1">
            <x v="44"/>
          </reference>
        </references>
      </pivotArea>
    </format>
    <format dxfId="760">
      <pivotArea dataOnly="0" labelOnly="1" fieldPosition="0">
        <references count="2">
          <reference field="1" count="1" selected="0">
            <x v="306"/>
          </reference>
          <reference field="2" count="1">
            <x v="8"/>
          </reference>
        </references>
      </pivotArea>
    </format>
    <format dxfId="759">
      <pivotArea dataOnly="0" labelOnly="1" fieldPosition="0">
        <references count="2">
          <reference field="1" count="1" selected="0">
            <x v="307"/>
          </reference>
          <reference field="2" count="1">
            <x v="66"/>
          </reference>
        </references>
      </pivotArea>
    </format>
    <format dxfId="758">
      <pivotArea dataOnly="0" labelOnly="1" fieldPosition="0">
        <references count="2">
          <reference field="1" count="1" selected="0">
            <x v="308"/>
          </reference>
          <reference field="2" count="1">
            <x v="17"/>
          </reference>
        </references>
      </pivotArea>
    </format>
    <format dxfId="757">
      <pivotArea dataOnly="0" labelOnly="1" fieldPosition="0">
        <references count="2">
          <reference field="1" count="1" selected="0">
            <x v="309"/>
          </reference>
          <reference field="2" count="1">
            <x v="67"/>
          </reference>
        </references>
      </pivotArea>
    </format>
    <format dxfId="756">
      <pivotArea dataOnly="0" labelOnly="1" fieldPosition="0">
        <references count="2">
          <reference field="1" count="1" selected="0">
            <x v="310"/>
          </reference>
          <reference field="2" count="1">
            <x v="28"/>
          </reference>
        </references>
      </pivotArea>
    </format>
    <format dxfId="755">
      <pivotArea dataOnly="0" labelOnly="1" fieldPosition="0">
        <references count="2">
          <reference field="1" count="1" selected="0">
            <x v="311"/>
          </reference>
          <reference field="2" count="1">
            <x v="52"/>
          </reference>
        </references>
      </pivotArea>
    </format>
    <format dxfId="754">
      <pivotArea dataOnly="0" labelOnly="1" fieldPosition="0">
        <references count="2">
          <reference field="1" count="1" selected="0">
            <x v="312"/>
          </reference>
          <reference field="2" count="1">
            <x v="92"/>
          </reference>
        </references>
      </pivotArea>
    </format>
    <format dxfId="753">
      <pivotArea dataOnly="0" labelOnly="1" fieldPosition="0">
        <references count="2">
          <reference field="1" count="1" selected="0">
            <x v="313"/>
          </reference>
          <reference field="2" count="1">
            <x v="52"/>
          </reference>
        </references>
      </pivotArea>
    </format>
    <format dxfId="752">
      <pivotArea dataOnly="0" labelOnly="1" fieldPosition="0">
        <references count="2">
          <reference field="1" count="1" selected="0">
            <x v="314"/>
          </reference>
          <reference field="2" count="1">
            <x v="52"/>
          </reference>
        </references>
      </pivotArea>
    </format>
    <format dxfId="751">
      <pivotArea dataOnly="0" labelOnly="1" fieldPosition="0">
        <references count="2">
          <reference field="1" count="1" selected="0">
            <x v="315"/>
          </reference>
          <reference field="2" count="1">
            <x v="52"/>
          </reference>
        </references>
      </pivotArea>
    </format>
    <format dxfId="750">
      <pivotArea dataOnly="0" labelOnly="1" fieldPosition="0">
        <references count="2">
          <reference field="1" count="1" selected="0">
            <x v="316"/>
          </reference>
          <reference field="2" count="1">
            <x v="54"/>
          </reference>
        </references>
      </pivotArea>
    </format>
    <format dxfId="749">
      <pivotArea dataOnly="0" labelOnly="1" fieldPosition="0">
        <references count="2">
          <reference field="1" count="1" selected="0">
            <x v="317"/>
          </reference>
          <reference field="2" count="1">
            <x v="26"/>
          </reference>
        </references>
      </pivotArea>
    </format>
    <format dxfId="748">
      <pivotArea dataOnly="0" labelOnly="1" fieldPosition="0">
        <references count="2">
          <reference field="1" count="1" selected="0">
            <x v="318"/>
          </reference>
          <reference field="2" count="1">
            <x v="34"/>
          </reference>
        </references>
      </pivotArea>
    </format>
    <format dxfId="747">
      <pivotArea dataOnly="0" labelOnly="1" fieldPosition="0">
        <references count="2">
          <reference field="1" count="1" selected="0">
            <x v="319"/>
          </reference>
          <reference field="2" count="1">
            <x v="53"/>
          </reference>
        </references>
      </pivotArea>
    </format>
    <format dxfId="746">
      <pivotArea dataOnly="0" labelOnly="1" fieldPosition="0">
        <references count="2">
          <reference field="1" count="1" selected="0">
            <x v="320"/>
          </reference>
          <reference field="2" count="1">
            <x v="91"/>
          </reference>
        </references>
      </pivotArea>
    </format>
    <format dxfId="745">
      <pivotArea dataOnly="0" labelOnly="1" fieldPosition="0">
        <references count="2">
          <reference field="1" count="1" selected="0">
            <x v="321"/>
          </reference>
          <reference field="2" count="1">
            <x v="66"/>
          </reference>
        </references>
      </pivotArea>
    </format>
    <format dxfId="744">
      <pivotArea dataOnly="0" labelOnly="1" fieldPosition="0">
        <references count="2">
          <reference field="1" count="1" selected="0">
            <x v="322"/>
          </reference>
          <reference field="2" count="1">
            <x v="89"/>
          </reference>
        </references>
      </pivotArea>
    </format>
    <format dxfId="743">
      <pivotArea dataOnly="0" labelOnly="1" fieldPosition="0">
        <references count="2">
          <reference field="1" count="1" selected="0">
            <x v="323"/>
          </reference>
          <reference field="2" count="1">
            <x v="20"/>
          </reference>
        </references>
      </pivotArea>
    </format>
    <format dxfId="742">
      <pivotArea dataOnly="0" labelOnly="1" fieldPosition="0">
        <references count="2">
          <reference field="1" count="1" selected="0">
            <x v="324"/>
          </reference>
          <reference field="2" count="1">
            <x v="52"/>
          </reference>
        </references>
      </pivotArea>
    </format>
    <format dxfId="741">
      <pivotArea dataOnly="0" labelOnly="1" fieldPosition="0">
        <references count="2">
          <reference field="1" count="1" selected="0">
            <x v="325"/>
          </reference>
          <reference field="2" count="1">
            <x v="82"/>
          </reference>
        </references>
      </pivotArea>
    </format>
    <format dxfId="740">
      <pivotArea dataOnly="0" labelOnly="1" fieldPosition="0">
        <references count="2">
          <reference field="1" count="1" selected="0">
            <x v="326"/>
          </reference>
          <reference field="2" count="1">
            <x v="23"/>
          </reference>
        </references>
      </pivotArea>
    </format>
    <format dxfId="739">
      <pivotArea dataOnly="0" labelOnly="1" fieldPosition="0">
        <references count="2">
          <reference field="1" count="1" selected="0">
            <x v="327"/>
          </reference>
          <reference field="2" count="1">
            <x v="23"/>
          </reference>
        </references>
      </pivotArea>
    </format>
    <format dxfId="738">
      <pivotArea dataOnly="0" labelOnly="1" fieldPosition="0">
        <references count="2">
          <reference field="1" count="1" selected="0">
            <x v="328"/>
          </reference>
          <reference field="2" count="1">
            <x v="52"/>
          </reference>
        </references>
      </pivotArea>
    </format>
    <format dxfId="737">
      <pivotArea dataOnly="0" labelOnly="1" fieldPosition="0">
        <references count="2">
          <reference field="1" count="1" selected="0">
            <x v="329"/>
          </reference>
          <reference field="2" count="1">
            <x v="52"/>
          </reference>
        </references>
      </pivotArea>
    </format>
    <format dxfId="736">
      <pivotArea dataOnly="0" labelOnly="1" fieldPosition="0">
        <references count="2">
          <reference field="1" count="1" selected="0">
            <x v="330"/>
          </reference>
          <reference field="2" count="1">
            <x v="15"/>
          </reference>
        </references>
      </pivotArea>
    </format>
    <format dxfId="735">
      <pivotArea dataOnly="0" labelOnly="1" fieldPosition="0">
        <references count="2">
          <reference field="1" count="1" selected="0">
            <x v="331"/>
          </reference>
          <reference field="2" count="1">
            <x v="52"/>
          </reference>
        </references>
      </pivotArea>
    </format>
    <format dxfId="734">
      <pivotArea dataOnly="0" labelOnly="1" fieldPosition="0">
        <references count="2">
          <reference field="1" count="1" selected="0">
            <x v="332"/>
          </reference>
          <reference field="2" count="1">
            <x v="1"/>
          </reference>
        </references>
      </pivotArea>
    </format>
    <format dxfId="733">
      <pivotArea dataOnly="0" labelOnly="1" fieldPosition="0">
        <references count="2">
          <reference field="1" count="1" selected="0">
            <x v="333"/>
          </reference>
          <reference field="2" count="1">
            <x v="87"/>
          </reference>
        </references>
      </pivotArea>
    </format>
    <format dxfId="732">
      <pivotArea dataOnly="0" labelOnly="1" fieldPosition="0">
        <references count="2">
          <reference field="1" count="1" selected="0">
            <x v="334"/>
          </reference>
          <reference field="2" count="1">
            <x v="52"/>
          </reference>
        </references>
      </pivotArea>
    </format>
    <format dxfId="731">
      <pivotArea dataOnly="0" labelOnly="1" fieldPosition="0">
        <references count="2">
          <reference field="1" count="1" selected="0">
            <x v="335"/>
          </reference>
          <reference field="2" count="1">
            <x v="53"/>
          </reference>
        </references>
      </pivotArea>
    </format>
    <format dxfId="730">
      <pivotArea dataOnly="0" labelOnly="1" fieldPosition="0">
        <references count="2">
          <reference field="1" count="1" selected="0">
            <x v="336"/>
          </reference>
          <reference field="2" count="2">
            <x v="52"/>
            <x v="79"/>
          </reference>
        </references>
      </pivotArea>
    </format>
    <format dxfId="729">
      <pivotArea dataOnly="0" labelOnly="1" fieldPosition="0">
        <references count="2">
          <reference field="1" count="1" selected="0">
            <x v="337"/>
          </reference>
          <reference field="2" count="1">
            <x v="23"/>
          </reference>
        </references>
      </pivotArea>
    </format>
    <format dxfId="728">
      <pivotArea dataOnly="0" labelOnly="1" fieldPosition="0">
        <references count="2">
          <reference field="1" count="1" selected="0">
            <x v="338"/>
          </reference>
          <reference field="2" count="1">
            <x v="1"/>
          </reference>
        </references>
      </pivotArea>
    </format>
    <format dxfId="727">
      <pivotArea dataOnly="0" labelOnly="1" fieldPosition="0">
        <references count="2">
          <reference field="1" count="1" selected="0">
            <x v="339"/>
          </reference>
          <reference field="2" count="1">
            <x v="1"/>
          </reference>
        </references>
      </pivotArea>
    </format>
    <format dxfId="726">
      <pivotArea dataOnly="0" labelOnly="1" fieldPosition="0">
        <references count="2">
          <reference field="1" count="1" selected="0">
            <x v="340"/>
          </reference>
          <reference field="2" count="1">
            <x v="33"/>
          </reference>
        </references>
      </pivotArea>
    </format>
    <format dxfId="725">
      <pivotArea dataOnly="0" labelOnly="1" fieldPosition="0">
        <references count="2">
          <reference field="1" count="1" selected="0">
            <x v="341"/>
          </reference>
          <reference field="2" count="1">
            <x v="53"/>
          </reference>
        </references>
      </pivotArea>
    </format>
    <format dxfId="724">
      <pivotArea dataOnly="0" labelOnly="1" fieldPosition="0">
        <references count="2">
          <reference field="1" count="1" selected="0">
            <x v="342"/>
          </reference>
          <reference field="2" count="1">
            <x v="66"/>
          </reference>
        </references>
      </pivotArea>
    </format>
    <format dxfId="723">
      <pivotArea dataOnly="0" labelOnly="1" fieldPosition="0">
        <references count="2">
          <reference field="1" count="1" selected="0">
            <x v="343"/>
          </reference>
          <reference field="2" count="1">
            <x v="66"/>
          </reference>
        </references>
      </pivotArea>
    </format>
    <format dxfId="722">
      <pivotArea dataOnly="0" labelOnly="1" fieldPosition="0">
        <references count="2">
          <reference field="1" count="1" selected="0">
            <x v="344"/>
          </reference>
          <reference field="2" count="1">
            <x v="23"/>
          </reference>
        </references>
      </pivotArea>
    </format>
    <format dxfId="721">
      <pivotArea dataOnly="0" labelOnly="1" fieldPosition="0">
        <references count="2">
          <reference field="1" count="1" selected="0">
            <x v="345"/>
          </reference>
          <reference field="2" count="1">
            <x v="23"/>
          </reference>
        </references>
      </pivotArea>
    </format>
    <format dxfId="720">
      <pivotArea dataOnly="0" labelOnly="1" fieldPosition="0">
        <references count="2">
          <reference field="1" count="1" selected="0">
            <x v="346"/>
          </reference>
          <reference field="2" count="1">
            <x v="34"/>
          </reference>
        </references>
      </pivotArea>
    </format>
    <format dxfId="719">
      <pivotArea dataOnly="0" labelOnly="1" fieldPosition="0">
        <references count="2">
          <reference field="1" count="1" selected="0">
            <x v="347"/>
          </reference>
          <reference field="2" count="1">
            <x v="66"/>
          </reference>
        </references>
      </pivotArea>
    </format>
    <format dxfId="718">
      <pivotArea dataOnly="0" labelOnly="1" fieldPosition="0">
        <references count="2">
          <reference field="1" count="1" selected="0">
            <x v="348"/>
          </reference>
          <reference field="2" count="1">
            <x v="90"/>
          </reference>
        </references>
      </pivotArea>
    </format>
    <format dxfId="717">
      <pivotArea dataOnly="0" labelOnly="1" fieldPosition="0">
        <references count="2">
          <reference field="1" count="1" selected="0">
            <x v="349"/>
          </reference>
          <reference field="2" count="1">
            <x v="52"/>
          </reference>
        </references>
      </pivotArea>
    </format>
    <format dxfId="716">
      <pivotArea dataOnly="0" labelOnly="1" fieldPosition="0">
        <references count="2">
          <reference field="1" count="1" selected="0">
            <x v="350"/>
          </reference>
          <reference field="2" count="2">
            <x v="6"/>
            <x v="91"/>
          </reference>
        </references>
      </pivotArea>
    </format>
    <format dxfId="715">
      <pivotArea dataOnly="0" labelOnly="1" fieldPosition="0">
        <references count="2">
          <reference field="1" count="1" selected="0">
            <x v="351"/>
          </reference>
          <reference field="2" count="1">
            <x v="28"/>
          </reference>
        </references>
      </pivotArea>
    </format>
    <format dxfId="714">
      <pivotArea dataOnly="0" labelOnly="1" fieldPosition="0">
        <references count="2">
          <reference field="1" count="1" selected="0">
            <x v="352"/>
          </reference>
          <reference field="2" count="1">
            <x v="88"/>
          </reference>
        </references>
      </pivotArea>
    </format>
    <format dxfId="713">
      <pivotArea dataOnly="0" labelOnly="1" fieldPosition="0">
        <references count="2">
          <reference field="1" count="1" selected="0">
            <x v="353"/>
          </reference>
          <reference field="2" count="1">
            <x v="1"/>
          </reference>
        </references>
      </pivotArea>
    </format>
    <format dxfId="712">
      <pivotArea dataOnly="0" labelOnly="1" fieldPosition="0">
        <references count="2">
          <reference field="1" count="1" selected="0">
            <x v="354"/>
          </reference>
          <reference field="2" count="1">
            <x v="50"/>
          </reference>
        </references>
      </pivotArea>
    </format>
    <format dxfId="711">
      <pivotArea dataOnly="0" labelOnly="1" fieldPosition="0">
        <references count="2">
          <reference field="1" count="1" selected="0">
            <x v="355"/>
          </reference>
          <reference field="2" count="1">
            <x v="52"/>
          </reference>
        </references>
      </pivotArea>
    </format>
    <format dxfId="710">
      <pivotArea dataOnly="0" labelOnly="1" fieldPosition="0">
        <references count="2">
          <reference field="1" count="1" selected="0">
            <x v="356"/>
          </reference>
          <reference field="2" count="1">
            <x v="34"/>
          </reference>
        </references>
      </pivotArea>
    </format>
    <format dxfId="709">
      <pivotArea dataOnly="0" labelOnly="1" fieldPosition="0">
        <references count="2">
          <reference field="1" count="1" selected="0">
            <x v="357"/>
          </reference>
          <reference field="2" count="1">
            <x v="73"/>
          </reference>
        </references>
      </pivotArea>
    </format>
    <format dxfId="708">
      <pivotArea dataOnly="0" labelOnly="1" fieldPosition="0">
        <references count="2">
          <reference field="1" count="1" selected="0">
            <x v="358"/>
          </reference>
          <reference field="2" count="1">
            <x v="68"/>
          </reference>
        </references>
      </pivotArea>
    </format>
    <format dxfId="707">
      <pivotArea dataOnly="0" labelOnly="1" fieldPosition="0">
        <references count="2">
          <reference field="1" count="1" selected="0">
            <x v="359"/>
          </reference>
          <reference field="2" count="1">
            <x v="34"/>
          </reference>
        </references>
      </pivotArea>
    </format>
    <format dxfId="706">
      <pivotArea dataOnly="0" labelOnly="1" fieldPosition="0">
        <references count="2">
          <reference field="1" count="1" selected="0">
            <x v="360"/>
          </reference>
          <reference field="2" count="1">
            <x v="106"/>
          </reference>
        </references>
      </pivotArea>
    </format>
    <format dxfId="705">
      <pivotArea dataOnly="0" labelOnly="1" fieldPosition="0">
        <references count="2">
          <reference field="1" count="1" selected="0">
            <x v="361"/>
          </reference>
          <reference field="2" count="1">
            <x v="52"/>
          </reference>
        </references>
      </pivotArea>
    </format>
    <format dxfId="704">
      <pivotArea dataOnly="0" labelOnly="1" fieldPosition="0">
        <references count="2">
          <reference field="1" count="1" selected="0">
            <x v="362"/>
          </reference>
          <reference field="2" count="1">
            <x v="23"/>
          </reference>
        </references>
      </pivotArea>
    </format>
    <format dxfId="703">
      <pivotArea dataOnly="0" labelOnly="1" fieldPosition="0">
        <references count="2">
          <reference field="1" count="1" selected="0">
            <x v="363"/>
          </reference>
          <reference field="2" count="1">
            <x v="91"/>
          </reference>
        </references>
      </pivotArea>
    </format>
    <format dxfId="702">
      <pivotArea dataOnly="0" labelOnly="1" fieldPosition="0">
        <references count="2">
          <reference field="1" count="1" selected="0">
            <x v="364"/>
          </reference>
          <reference field="2" count="1">
            <x v="65"/>
          </reference>
        </references>
      </pivotArea>
    </format>
    <format dxfId="701">
      <pivotArea dataOnly="0" labelOnly="1" fieldPosition="0">
        <references count="2">
          <reference field="1" count="1" selected="0">
            <x v="365"/>
          </reference>
          <reference field="2" count="1">
            <x v="52"/>
          </reference>
        </references>
      </pivotArea>
    </format>
    <format dxfId="700">
      <pivotArea dataOnly="0" labelOnly="1" fieldPosition="0">
        <references count="2">
          <reference field="1" count="1" selected="0">
            <x v="366"/>
          </reference>
          <reference field="2" count="1">
            <x v="55"/>
          </reference>
        </references>
      </pivotArea>
    </format>
    <format dxfId="699">
      <pivotArea dataOnly="0" labelOnly="1" fieldPosition="0">
        <references count="2">
          <reference field="1" count="1" selected="0">
            <x v="367"/>
          </reference>
          <reference field="2" count="1">
            <x v="0"/>
          </reference>
        </references>
      </pivotArea>
    </format>
    <format dxfId="698">
      <pivotArea dataOnly="0" labelOnly="1" fieldPosition="0">
        <references count="2">
          <reference field="1" count="1" selected="0">
            <x v="368"/>
          </reference>
          <reference field="2" count="1">
            <x v="52"/>
          </reference>
        </references>
      </pivotArea>
    </format>
    <format dxfId="697">
      <pivotArea dataOnly="0" labelOnly="1" fieldPosition="0">
        <references count="2">
          <reference field="1" count="1" selected="0">
            <x v="369"/>
          </reference>
          <reference field="2" count="1">
            <x v="86"/>
          </reference>
        </references>
      </pivotArea>
    </format>
    <format dxfId="696">
      <pivotArea dataOnly="0" labelOnly="1" fieldPosition="0">
        <references count="2">
          <reference field="1" count="1" selected="0">
            <x v="370"/>
          </reference>
          <reference field="2" count="1">
            <x v="23"/>
          </reference>
        </references>
      </pivotArea>
    </format>
    <format dxfId="695">
      <pivotArea dataOnly="0" labelOnly="1" fieldPosition="0">
        <references count="2">
          <reference field="1" count="1" selected="0">
            <x v="371"/>
          </reference>
          <reference field="2" count="1">
            <x v="10"/>
          </reference>
        </references>
      </pivotArea>
    </format>
    <format dxfId="694">
      <pivotArea dataOnly="0" labelOnly="1" fieldPosition="0">
        <references count="2">
          <reference field="1" count="1" selected="0">
            <x v="372"/>
          </reference>
          <reference field="2" count="1">
            <x v="69"/>
          </reference>
        </references>
      </pivotArea>
    </format>
    <format dxfId="693">
      <pivotArea dataOnly="0" labelOnly="1" fieldPosition="0">
        <references count="2">
          <reference field="1" count="1" selected="0">
            <x v="373"/>
          </reference>
          <reference field="2" count="1">
            <x v="52"/>
          </reference>
        </references>
      </pivotArea>
    </format>
    <format dxfId="692">
      <pivotArea dataOnly="0" labelOnly="1" fieldPosition="0">
        <references count="2">
          <reference field="1" count="1" selected="0">
            <x v="374"/>
          </reference>
          <reference field="2" count="1">
            <x v="34"/>
          </reference>
        </references>
      </pivotArea>
    </format>
    <format dxfId="691">
      <pivotArea dataOnly="0" labelOnly="1" fieldPosition="0">
        <references count="2">
          <reference field="1" count="1" selected="0">
            <x v="375"/>
          </reference>
          <reference field="2" count="1">
            <x v="23"/>
          </reference>
        </references>
      </pivotArea>
    </format>
    <format dxfId="690">
      <pivotArea dataOnly="0" labelOnly="1" fieldPosition="0">
        <references count="2">
          <reference field="1" count="1" selected="0">
            <x v="376"/>
          </reference>
          <reference field="2" count="1">
            <x v="97"/>
          </reference>
        </references>
      </pivotArea>
    </format>
    <format dxfId="689">
      <pivotArea dataOnly="0" labelOnly="1" fieldPosition="0">
        <references count="2">
          <reference field="1" count="1" selected="0">
            <x v="377"/>
          </reference>
          <reference field="2" count="1">
            <x v="89"/>
          </reference>
        </references>
      </pivotArea>
    </format>
    <format dxfId="688">
      <pivotArea dataOnly="0" labelOnly="1" fieldPosition="0">
        <references count="2">
          <reference field="1" count="1" selected="0">
            <x v="378"/>
          </reference>
          <reference field="2" count="1">
            <x v="77"/>
          </reference>
        </references>
      </pivotArea>
    </format>
    <format dxfId="687">
      <pivotArea dataOnly="0" labelOnly="1" fieldPosition="0">
        <references count="2">
          <reference field="1" count="1" selected="0">
            <x v="379"/>
          </reference>
          <reference field="2" count="1">
            <x v="34"/>
          </reference>
        </references>
      </pivotArea>
    </format>
    <format dxfId="686">
      <pivotArea dataOnly="0" labelOnly="1" fieldPosition="0">
        <references count="2">
          <reference field="1" count="1" selected="0">
            <x v="380"/>
          </reference>
          <reference field="2" count="1">
            <x v="52"/>
          </reference>
        </references>
      </pivotArea>
    </format>
    <format dxfId="685">
      <pivotArea dataOnly="0" labelOnly="1" fieldPosition="0">
        <references count="2">
          <reference field="1" count="1" selected="0">
            <x v="381"/>
          </reference>
          <reference field="2" count="1">
            <x v="0"/>
          </reference>
        </references>
      </pivotArea>
    </format>
    <format dxfId="684">
      <pivotArea dataOnly="0" labelOnly="1" fieldPosition="0">
        <references count="2">
          <reference field="1" count="1" selected="0">
            <x v="382"/>
          </reference>
          <reference field="2" count="1">
            <x v="23"/>
          </reference>
        </references>
      </pivotArea>
    </format>
    <format dxfId="683">
      <pivotArea dataOnly="0" labelOnly="1" fieldPosition="0">
        <references count="2">
          <reference field="1" count="1" selected="0">
            <x v="383"/>
          </reference>
          <reference field="2" count="1">
            <x v="23"/>
          </reference>
        </references>
      </pivotArea>
    </format>
    <format dxfId="682">
      <pivotArea dataOnly="0" labelOnly="1" fieldPosition="0">
        <references count="2">
          <reference field="1" count="1" selected="0">
            <x v="384"/>
          </reference>
          <reference field="2" count="1">
            <x v="1"/>
          </reference>
        </references>
      </pivotArea>
    </format>
    <format dxfId="681">
      <pivotArea dataOnly="0" labelOnly="1" fieldPosition="0">
        <references count="2">
          <reference field="1" count="1" selected="0">
            <x v="385"/>
          </reference>
          <reference field="2" count="1">
            <x v="34"/>
          </reference>
        </references>
      </pivotArea>
    </format>
    <format dxfId="680">
      <pivotArea dataOnly="0" labelOnly="1" fieldPosition="0">
        <references count="2">
          <reference field="1" count="1" selected="0">
            <x v="386"/>
          </reference>
          <reference field="2" count="1">
            <x v="99"/>
          </reference>
        </references>
      </pivotArea>
    </format>
    <format dxfId="679">
      <pivotArea dataOnly="0" labelOnly="1" fieldPosition="0">
        <references count="2">
          <reference field="1" count="1" selected="0">
            <x v="387"/>
          </reference>
          <reference field="2" count="1">
            <x v="52"/>
          </reference>
        </references>
      </pivotArea>
    </format>
    <format dxfId="678">
      <pivotArea dataOnly="0" labelOnly="1" fieldPosition="0">
        <references count="2">
          <reference field="1" count="1" selected="0">
            <x v="388"/>
          </reference>
          <reference field="2" count="1">
            <x v="94"/>
          </reference>
        </references>
      </pivotArea>
    </format>
    <format dxfId="677">
      <pivotArea dataOnly="0" labelOnly="1" fieldPosition="0">
        <references count="2">
          <reference field="1" count="1" selected="0">
            <x v="389"/>
          </reference>
          <reference field="2" count="1">
            <x v="52"/>
          </reference>
        </references>
      </pivotArea>
    </format>
    <format dxfId="676">
      <pivotArea dataOnly="0" labelOnly="1" fieldPosition="0">
        <references count="2">
          <reference field="1" count="1" selected="0">
            <x v="390"/>
          </reference>
          <reference field="2" count="1">
            <x v="1"/>
          </reference>
        </references>
      </pivotArea>
    </format>
    <format dxfId="675">
      <pivotArea dataOnly="0" labelOnly="1" fieldPosition="0">
        <references count="2">
          <reference field="1" count="1" selected="0">
            <x v="391"/>
          </reference>
          <reference field="2" count="1">
            <x v="53"/>
          </reference>
        </references>
      </pivotArea>
    </format>
    <format dxfId="674">
      <pivotArea dataOnly="0" labelOnly="1" fieldPosition="0">
        <references count="2">
          <reference field="1" count="1" selected="0">
            <x v="392"/>
          </reference>
          <reference field="2" count="1">
            <x v="34"/>
          </reference>
        </references>
      </pivotArea>
    </format>
    <format dxfId="673">
      <pivotArea dataOnly="0" labelOnly="1" fieldPosition="0">
        <references count="2">
          <reference field="1" count="1" selected="0">
            <x v="393"/>
          </reference>
          <reference field="2" count="1">
            <x v="53"/>
          </reference>
        </references>
      </pivotArea>
    </format>
    <format dxfId="672">
      <pivotArea dataOnly="0" labelOnly="1" fieldPosition="0">
        <references count="2">
          <reference field="1" count="1" selected="0">
            <x v="394"/>
          </reference>
          <reference field="2" count="1">
            <x v="60"/>
          </reference>
        </references>
      </pivotArea>
    </format>
    <format dxfId="671">
      <pivotArea dataOnly="0" labelOnly="1" fieldPosition="0">
        <references count="2">
          <reference field="1" count="1" selected="0">
            <x v="395"/>
          </reference>
          <reference field="2" count="1">
            <x v="23"/>
          </reference>
        </references>
      </pivotArea>
    </format>
    <format dxfId="670">
      <pivotArea dataOnly="0" labelOnly="1" fieldPosition="0">
        <references count="2">
          <reference field="1" count="1" selected="0">
            <x v="396"/>
          </reference>
          <reference field="2" count="1">
            <x v="34"/>
          </reference>
        </references>
      </pivotArea>
    </format>
    <format dxfId="669">
      <pivotArea dataOnly="0" labelOnly="1" fieldPosition="0">
        <references count="2">
          <reference field="1" count="1" selected="0">
            <x v="397"/>
          </reference>
          <reference field="2" count="1">
            <x v="52"/>
          </reference>
        </references>
      </pivotArea>
    </format>
    <format dxfId="668">
      <pivotArea dataOnly="0" labelOnly="1" fieldPosition="0">
        <references count="2">
          <reference field="1" count="1" selected="0">
            <x v="398"/>
          </reference>
          <reference field="2" count="1">
            <x v="65"/>
          </reference>
        </references>
      </pivotArea>
    </format>
    <format dxfId="667">
      <pivotArea dataOnly="0" labelOnly="1" fieldPosition="0">
        <references count="2">
          <reference field="1" count="1" selected="0">
            <x v="399"/>
          </reference>
          <reference field="2" count="1">
            <x v="34"/>
          </reference>
        </references>
      </pivotArea>
    </format>
    <format dxfId="666">
      <pivotArea dataOnly="0" labelOnly="1" fieldPosition="0">
        <references count="2">
          <reference field="1" count="1" selected="0">
            <x v="400"/>
          </reference>
          <reference field="2" count="1">
            <x v="1"/>
          </reference>
        </references>
      </pivotArea>
    </format>
    <format dxfId="665">
      <pivotArea dataOnly="0" labelOnly="1" fieldPosition="0">
        <references count="2">
          <reference field="1" count="1" selected="0">
            <x v="401"/>
          </reference>
          <reference field="2" count="1">
            <x v="70"/>
          </reference>
        </references>
      </pivotArea>
    </format>
    <format dxfId="664">
      <pivotArea dataOnly="0" labelOnly="1" fieldPosition="0">
        <references count="2">
          <reference field="1" count="1" selected="0">
            <x v="402"/>
          </reference>
          <reference field="2" count="1">
            <x v="53"/>
          </reference>
        </references>
      </pivotArea>
    </format>
    <format dxfId="663">
      <pivotArea dataOnly="0" labelOnly="1" fieldPosition="0">
        <references count="2">
          <reference field="1" count="1" selected="0">
            <x v="403"/>
          </reference>
          <reference field="2" count="1">
            <x v="22"/>
          </reference>
        </references>
      </pivotArea>
    </format>
    <format dxfId="662">
      <pivotArea dataOnly="0" labelOnly="1" fieldPosition="0">
        <references count="2">
          <reference field="1" count="1" selected="0">
            <x v="404"/>
          </reference>
          <reference field="2" count="1">
            <x v="40"/>
          </reference>
        </references>
      </pivotArea>
    </format>
    <format dxfId="661">
      <pivotArea dataOnly="0" labelOnly="1" fieldPosition="0">
        <references count="2">
          <reference field="1" count="1" selected="0">
            <x v="405"/>
          </reference>
          <reference field="2" count="1">
            <x v="52"/>
          </reference>
        </references>
      </pivotArea>
    </format>
    <format dxfId="660">
      <pivotArea dataOnly="0" labelOnly="1" fieldPosition="0">
        <references count="2">
          <reference field="1" count="1" selected="0">
            <x v="406"/>
          </reference>
          <reference field="2" count="1">
            <x v="1"/>
          </reference>
        </references>
      </pivotArea>
    </format>
    <format dxfId="659">
      <pivotArea dataOnly="0" labelOnly="1" fieldPosition="0">
        <references count="2">
          <reference field="1" count="1" selected="0">
            <x v="407"/>
          </reference>
          <reference field="2" count="1">
            <x v="97"/>
          </reference>
        </references>
      </pivotArea>
    </format>
    <format dxfId="658">
      <pivotArea dataOnly="0" labelOnly="1" fieldPosition="0">
        <references count="2">
          <reference field="1" count="1" selected="0">
            <x v="408"/>
          </reference>
          <reference field="2" count="1">
            <x v="52"/>
          </reference>
        </references>
      </pivotArea>
    </format>
    <format dxfId="657">
      <pivotArea dataOnly="0" labelOnly="1" fieldPosition="0">
        <references count="2">
          <reference field="1" count="1" selected="0">
            <x v="409"/>
          </reference>
          <reference field="2" count="1">
            <x v="52"/>
          </reference>
        </references>
      </pivotArea>
    </format>
    <format dxfId="656">
      <pivotArea dataOnly="0" labelOnly="1" fieldPosition="0">
        <references count="2">
          <reference field="1" count="1" selected="0">
            <x v="410"/>
          </reference>
          <reference field="2" count="1">
            <x v="8"/>
          </reference>
        </references>
      </pivotArea>
    </format>
    <format dxfId="655">
      <pivotArea dataOnly="0" labelOnly="1" fieldPosition="0">
        <references count="2">
          <reference field="1" count="1" selected="0">
            <x v="411"/>
          </reference>
          <reference field="2" count="1">
            <x v="34"/>
          </reference>
        </references>
      </pivotArea>
    </format>
    <format dxfId="654">
      <pivotArea dataOnly="0" labelOnly="1" fieldPosition="0">
        <references count="2">
          <reference field="1" count="1" selected="0">
            <x v="412"/>
          </reference>
          <reference field="2" count="1">
            <x v="1"/>
          </reference>
        </references>
      </pivotArea>
    </format>
    <format dxfId="653">
      <pivotArea dataOnly="0" labelOnly="1" fieldPosition="0">
        <references count="2">
          <reference field="1" count="1" selected="0">
            <x v="413"/>
          </reference>
          <reference field="2" count="1">
            <x v="83"/>
          </reference>
        </references>
      </pivotArea>
    </format>
    <format dxfId="652">
      <pivotArea dataOnly="0" labelOnly="1" fieldPosition="0">
        <references count="2">
          <reference field="1" count="1" selected="0">
            <x v="414"/>
          </reference>
          <reference field="2" count="1">
            <x v="106"/>
          </reference>
        </references>
      </pivotArea>
    </format>
    <format dxfId="651">
      <pivotArea dataOnly="0" labelOnly="1" fieldPosition="0">
        <references count="2">
          <reference field="1" count="1" selected="0">
            <x v="415"/>
          </reference>
          <reference field="2" count="1">
            <x v="1"/>
          </reference>
        </references>
      </pivotArea>
    </format>
    <format dxfId="650">
      <pivotArea dataOnly="0" labelOnly="1" fieldPosition="0">
        <references count="2">
          <reference field="1" count="1" selected="0">
            <x v="416"/>
          </reference>
          <reference field="2" count="1">
            <x v="53"/>
          </reference>
        </references>
      </pivotArea>
    </format>
    <format dxfId="649">
      <pivotArea dataOnly="0" labelOnly="1" fieldPosition="0">
        <references count="2">
          <reference field="1" count="1" selected="0">
            <x v="417"/>
          </reference>
          <reference field="2" count="1">
            <x v="79"/>
          </reference>
        </references>
      </pivotArea>
    </format>
    <format dxfId="648">
      <pivotArea dataOnly="0" labelOnly="1" fieldPosition="0">
        <references count="2">
          <reference field="1" count="1" selected="0">
            <x v="418"/>
          </reference>
          <reference field="2" count="1">
            <x v="1"/>
          </reference>
        </references>
      </pivotArea>
    </format>
    <format dxfId="647">
      <pivotArea dataOnly="0" labelOnly="1" fieldPosition="0">
        <references count="2">
          <reference field="1" count="1" selected="0">
            <x v="419"/>
          </reference>
          <reference field="2" count="1">
            <x v="83"/>
          </reference>
        </references>
      </pivotArea>
    </format>
    <format dxfId="646">
      <pivotArea dataOnly="0" labelOnly="1" fieldPosition="0">
        <references count="2">
          <reference field="1" count="1" selected="0">
            <x v="420"/>
          </reference>
          <reference field="2" count="1">
            <x v="23"/>
          </reference>
        </references>
      </pivotArea>
    </format>
    <format dxfId="645">
      <pivotArea dataOnly="0" labelOnly="1" fieldPosition="0">
        <references count="2">
          <reference field="1" count="1" selected="0">
            <x v="421"/>
          </reference>
          <reference field="2" count="1">
            <x v="3"/>
          </reference>
        </references>
      </pivotArea>
    </format>
    <format dxfId="644">
      <pivotArea dataOnly="0" labelOnly="1" fieldPosition="0">
        <references count="2">
          <reference field="1" count="1" selected="0">
            <x v="422"/>
          </reference>
          <reference field="2" count="1">
            <x v="34"/>
          </reference>
        </references>
      </pivotArea>
    </format>
    <format dxfId="643">
      <pivotArea dataOnly="0" labelOnly="1" fieldPosition="0">
        <references count="2">
          <reference field="1" count="1" selected="0">
            <x v="423"/>
          </reference>
          <reference field="2" count="2">
            <x v="52"/>
            <x v="78"/>
          </reference>
        </references>
      </pivotArea>
    </format>
    <format dxfId="642">
      <pivotArea dataOnly="0" labelOnly="1" fieldPosition="0">
        <references count="2">
          <reference field="1" count="1" selected="0">
            <x v="424"/>
          </reference>
          <reference field="2" count="1">
            <x v="1"/>
          </reference>
        </references>
      </pivotArea>
    </format>
    <format dxfId="641">
      <pivotArea dataOnly="0" labelOnly="1" fieldPosition="0">
        <references count="2">
          <reference field="1" count="1" selected="0">
            <x v="425"/>
          </reference>
          <reference field="2" count="1">
            <x v="53"/>
          </reference>
        </references>
      </pivotArea>
    </format>
    <format dxfId="640">
      <pivotArea dataOnly="0" labelOnly="1" fieldPosition="0">
        <references count="2">
          <reference field="1" count="1" selected="0">
            <x v="426"/>
          </reference>
          <reference field="2" count="1">
            <x v="66"/>
          </reference>
        </references>
      </pivotArea>
    </format>
    <format dxfId="639">
      <pivotArea dataOnly="0" labelOnly="1" fieldPosition="0">
        <references count="2">
          <reference field="1" count="1" selected="0">
            <x v="427"/>
          </reference>
          <reference field="2" count="1">
            <x v="97"/>
          </reference>
        </references>
      </pivotArea>
    </format>
    <format dxfId="638">
      <pivotArea dataOnly="0" labelOnly="1" fieldPosition="0">
        <references count="2">
          <reference field="1" count="1" selected="0">
            <x v="428"/>
          </reference>
          <reference field="2" count="1">
            <x v="34"/>
          </reference>
        </references>
      </pivotArea>
    </format>
    <format dxfId="637">
      <pivotArea dataOnly="0" labelOnly="1" fieldPosition="0">
        <references count="2">
          <reference field="1" count="1" selected="0">
            <x v="429"/>
          </reference>
          <reference field="2" count="1">
            <x v="1"/>
          </reference>
        </references>
      </pivotArea>
    </format>
    <format dxfId="636">
      <pivotArea dataOnly="0" labelOnly="1" fieldPosition="0">
        <references count="2">
          <reference field="1" count="1" selected="0">
            <x v="430"/>
          </reference>
          <reference field="2" count="1">
            <x v="53"/>
          </reference>
        </references>
      </pivotArea>
    </format>
    <format dxfId="635">
      <pivotArea dataOnly="0" labelOnly="1" fieldPosition="0">
        <references count="2">
          <reference field="1" count="1" selected="0">
            <x v="431"/>
          </reference>
          <reference field="2" count="1">
            <x v="53"/>
          </reference>
        </references>
      </pivotArea>
    </format>
    <format dxfId="634">
      <pivotArea dataOnly="0" labelOnly="1" fieldPosition="0">
        <references count="2">
          <reference field="1" count="1" selected="0">
            <x v="432"/>
          </reference>
          <reference field="2" count="1">
            <x v="52"/>
          </reference>
        </references>
      </pivotArea>
    </format>
    <format dxfId="633">
      <pivotArea dataOnly="0" labelOnly="1" fieldPosition="0">
        <references count="2">
          <reference field="1" count="1" selected="0">
            <x v="433"/>
          </reference>
          <reference field="2" count="2">
            <x v="53"/>
            <x v="91"/>
          </reference>
        </references>
      </pivotArea>
    </format>
    <format dxfId="632">
      <pivotArea dataOnly="0" labelOnly="1" fieldPosition="0">
        <references count="2">
          <reference field="1" count="1" selected="0">
            <x v="434"/>
          </reference>
          <reference field="2" count="1">
            <x v="94"/>
          </reference>
        </references>
      </pivotArea>
    </format>
    <format dxfId="631">
      <pivotArea dataOnly="0" labelOnly="1" fieldPosition="0">
        <references count="2">
          <reference field="1" count="1" selected="0">
            <x v="435"/>
          </reference>
          <reference field="2" count="1">
            <x v="91"/>
          </reference>
        </references>
      </pivotArea>
    </format>
    <format dxfId="630">
      <pivotArea dataOnly="0" labelOnly="1" fieldPosition="0">
        <references count="2">
          <reference field="1" count="1" selected="0">
            <x v="436"/>
          </reference>
          <reference field="2" count="1">
            <x v="52"/>
          </reference>
        </references>
      </pivotArea>
    </format>
    <format dxfId="629">
      <pivotArea dataOnly="0" labelOnly="1" fieldPosition="0">
        <references count="2">
          <reference field="1" count="1" selected="0">
            <x v="437"/>
          </reference>
          <reference field="2" count="1">
            <x v="34"/>
          </reference>
        </references>
      </pivotArea>
    </format>
    <format dxfId="628">
      <pivotArea dataOnly="0" labelOnly="1" fieldPosition="0">
        <references count="2">
          <reference field="1" count="1" selected="0">
            <x v="438"/>
          </reference>
          <reference field="2" count="1">
            <x v="16"/>
          </reference>
        </references>
      </pivotArea>
    </format>
    <format dxfId="627">
      <pivotArea dataOnly="0" labelOnly="1" fieldPosition="0">
        <references count="2">
          <reference field="1" count="1" selected="0">
            <x v="439"/>
          </reference>
          <reference field="2" count="1">
            <x v="34"/>
          </reference>
        </references>
      </pivotArea>
    </format>
    <format dxfId="626">
      <pivotArea dataOnly="0" labelOnly="1" fieldPosition="0">
        <references count="2">
          <reference field="1" count="1" selected="0">
            <x v="440"/>
          </reference>
          <reference field="2" count="1">
            <x v="34"/>
          </reference>
        </references>
      </pivotArea>
    </format>
    <format dxfId="625">
      <pivotArea dataOnly="0" labelOnly="1" fieldPosition="0">
        <references count="2">
          <reference field="1" count="1" selected="0">
            <x v="441"/>
          </reference>
          <reference field="2" count="1">
            <x v="52"/>
          </reference>
        </references>
      </pivotArea>
    </format>
    <format dxfId="624">
      <pivotArea dataOnly="0" labelOnly="1" fieldPosition="0">
        <references count="2">
          <reference field="1" count="1" selected="0">
            <x v="442"/>
          </reference>
          <reference field="2" count="1">
            <x v="38"/>
          </reference>
        </references>
      </pivotArea>
    </format>
    <format dxfId="623">
      <pivotArea dataOnly="0" labelOnly="1" fieldPosition="0">
        <references count="2">
          <reference field="1" count="1" selected="0">
            <x v="443"/>
          </reference>
          <reference field="2" count="1">
            <x v="5"/>
          </reference>
        </references>
      </pivotArea>
    </format>
    <format dxfId="622">
      <pivotArea dataOnly="0" labelOnly="1" fieldPosition="0">
        <references count="2">
          <reference field="1" count="1" selected="0">
            <x v="444"/>
          </reference>
          <reference field="2" count="1">
            <x v="52"/>
          </reference>
        </references>
      </pivotArea>
    </format>
    <format dxfId="621">
      <pivotArea dataOnly="0" labelOnly="1" fieldPosition="0">
        <references count="2">
          <reference field="1" count="1" selected="0">
            <x v="445"/>
          </reference>
          <reference field="2" count="1">
            <x v="3"/>
          </reference>
        </references>
      </pivotArea>
    </format>
    <format dxfId="620">
      <pivotArea dataOnly="0" labelOnly="1" fieldPosition="0">
        <references count="2">
          <reference field="1" count="1" selected="0">
            <x v="446"/>
          </reference>
          <reference field="2" count="1">
            <x v="53"/>
          </reference>
        </references>
      </pivotArea>
    </format>
    <format dxfId="619">
      <pivotArea dataOnly="0" labelOnly="1" fieldPosition="0">
        <references count="2">
          <reference field="1" count="1" selected="0">
            <x v="447"/>
          </reference>
          <reference field="2" count="1">
            <x v="53"/>
          </reference>
        </references>
      </pivotArea>
    </format>
    <format dxfId="618">
      <pivotArea dataOnly="0" labelOnly="1" fieldPosition="0">
        <references count="2">
          <reference field="1" count="1" selected="0">
            <x v="448"/>
          </reference>
          <reference field="2" count="1">
            <x v="66"/>
          </reference>
        </references>
      </pivotArea>
    </format>
    <format dxfId="617">
      <pivotArea dataOnly="0" labelOnly="1" fieldPosition="0">
        <references count="2">
          <reference field="1" count="1" selected="0">
            <x v="449"/>
          </reference>
          <reference field="2" count="1">
            <x v="30"/>
          </reference>
        </references>
      </pivotArea>
    </format>
    <format dxfId="616">
      <pivotArea dataOnly="0" labelOnly="1" fieldPosition="0">
        <references count="2">
          <reference field="1" count="1" selected="0">
            <x v="450"/>
          </reference>
          <reference field="2" count="1">
            <x v="53"/>
          </reference>
        </references>
      </pivotArea>
    </format>
    <format dxfId="615">
      <pivotArea dataOnly="0" labelOnly="1" fieldPosition="0">
        <references count="2">
          <reference field="1" count="1" selected="0">
            <x v="451"/>
          </reference>
          <reference field="2" count="2">
            <x v="1"/>
            <x v="25"/>
          </reference>
        </references>
      </pivotArea>
    </format>
    <format dxfId="614">
      <pivotArea dataOnly="0" labelOnly="1" fieldPosition="0">
        <references count="2">
          <reference field="1" count="1" selected="0">
            <x v="452"/>
          </reference>
          <reference field="2" count="2">
            <x v="52"/>
            <x v="103"/>
          </reference>
        </references>
      </pivotArea>
    </format>
    <format dxfId="613">
      <pivotArea dataOnly="0" labelOnly="1" fieldPosition="0">
        <references count="2">
          <reference field="1" count="1" selected="0">
            <x v="453"/>
          </reference>
          <reference field="2" count="1">
            <x v="53"/>
          </reference>
        </references>
      </pivotArea>
    </format>
    <format dxfId="612">
      <pivotArea dataOnly="0" labelOnly="1" fieldPosition="0">
        <references count="2">
          <reference field="1" count="1" selected="0">
            <x v="454"/>
          </reference>
          <reference field="2" count="1">
            <x v="66"/>
          </reference>
        </references>
      </pivotArea>
    </format>
    <format dxfId="611">
      <pivotArea dataOnly="0" labelOnly="1" fieldPosition="0">
        <references count="2">
          <reference field="1" count="1" selected="0">
            <x v="455"/>
          </reference>
          <reference field="2" count="1">
            <x v="23"/>
          </reference>
        </references>
      </pivotArea>
    </format>
    <format dxfId="610">
      <pivotArea dataOnly="0" labelOnly="1" fieldPosition="0">
        <references count="2">
          <reference field="1" count="1" selected="0">
            <x v="456"/>
          </reference>
          <reference field="2" count="1">
            <x v="53"/>
          </reference>
        </references>
      </pivotArea>
    </format>
    <format dxfId="609">
      <pivotArea dataOnly="0" labelOnly="1" fieldPosition="0">
        <references count="2">
          <reference field="1" count="1" selected="0">
            <x v="457"/>
          </reference>
          <reference field="2" count="1">
            <x v="84"/>
          </reference>
        </references>
      </pivotArea>
    </format>
    <format dxfId="608">
      <pivotArea dataOnly="0" labelOnly="1" fieldPosition="0">
        <references count="2">
          <reference field="1" count="1" selected="0">
            <x v="458"/>
          </reference>
          <reference field="2" count="1">
            <x v="53"/>
          </reference>
        </references>
      </pivotArea>
    </format>
    <format dxfId="607">
      <pivotArea dataOnly="0" labelOnly="1" fieldPosition="0">
        <references count="2">
          <reference field="1" count="1" selected="0">
            <x v="459"/>
          </reference>
          <reference field="2" count="1">
            <x v="38"/>
          </reference>
        </references>
      </pivotArea>
    </format>
    <format dxfId="606">
      <pivotArea dataOnly="0" labelOnly="1" fieldPosition="0">
        <references count="2">
          <reference field="1" count="1" selected="0">
            <x v="460"/>
          </reference>
          <reference field="2" count="1">
            <x v="52"/>
          </reference>
        </references>
      </pivotArea>
    </format>
    <format dxfId="605">
      <pivotArea dataOnly="0" labelOnly="1" fieldPosition="0">
        <references count="2">
          <reference field="1" count="1" selected="0">
            <x v="461"/>
          </reference>
          <reference field="2" count="1">
            <x v="73"/>
          </reference>
        </references>
      </pivotArea>
    </format>
    <format dxfId="604">
      <pivotArea dataOnly="0" labelOnly="1" fieldPosition="0">
        <references count="2">
          <reference field="1" count="1" selected="0">
            <x v="462"/>
          </reference>
          <reference field="2" count="1">
            <x v="65"/>
          </reference>
        </references>
      </pivotArea>
    </format>
    <format dxfId="603">
      <pivotArea dataOnly="0" labelOnly="1" fieldPosition="0">
        <references count="2">
          <reference field="1" count="1" selected="0">
            <x v="463"/>
          </reference>
          <reference field="2" count="1">
            <x v="52"/>
          </reference>
        </references>
      </pivotArea>
    </format>
    <format dxfId="602">
      <pivotArea dataOnly="0" labelOnly="1" fieldPosition="0">
        <references count="2">
          <reference field="1" count="1" selected="0">
            <x v="464"/>
          </reference>
          <reference field="2" count="1">
            <x v="52"/>
          </reference>
        </references>
      </pivotArea>
    </format>
    <format dxfId="601">
      <pivotArea dataOnly="0" labelOnly="1" fieldPosition="0">
        <references count="2">
          <reference field="1" count="1" selected="0">
            <x v="465"/>
          </reference>
          <reference field="2" count="1">
            <x v="87"/>
          </reference>
        </references>
      </pivotArea>
    </format>
    <format dxfId="600">
      <pivotArea dataOnly="0" labelOnly="1" fieldPosition="0">
        <references count="2">
          <reference field="1" count="1" selected="0">
            <x v="466"/>
          </reference>
          <reference field="2" count="1">
            <x v="52"/>
          </reference>
        </references>
      </pivotArea>
    </format>
    <format dxfId="599">
      <pivotArea dataOnly="0" labelOnly="1" fieldPosition="0">
        <references count="2">
          <reference field="1" count="1" selected="0">
            <x v="467"/>
          </reference>
          <reference field="2" count="1">
            <x v="58"/>
          </reference>
        </references>
      </pivotArea>
    </format>
    <format dxfId="598">
      <pivotArea dataOnly="0" labelOnly="1" fieldPosition="0">
        <references count="2">
          <reference field="1" count="1" selected="0">
            <x v="468"/>
          </reference>
          <reference field="2" count="1">
            <x v="42"/>
          </reference>
        </references>
      </pivotArea>
    </format>
    <format dxfId="597">
      <pivotArea dataOnly="0" labelOnly="1" fieldPosition="0">
        <references count="2">
          <reference field="1" count="1" selected="0">
            <x v="469"/>
          </reference>
          <reference field="2" count="1">
            <x v="1"/>
          </reference>
        </references>
      </pivotArea>
    </format>
    <format dxfId="596">
      <pivotArea dataOnly="0" labelOnly="1" fieldPosition="0">
        <references count="2">
          <reference field="1" count="1" selected="0">
            <x v="470"/>
          </reference>
          <reference field="2" count="1">
            <x v="23"/>
          </reference>
        </references>
      </pivotArea>
    </format>
    <format dxfId="595">
      <pivotArea dataOnly="0" labelOnly="1" fieldPosition="0">
        <references count="2">
          <reference field="1" count="1" selected="0">
            <x v="471"/>
          </reference>
          <reference field="2" count="1">
            <x v="13"/>
          </reference>
        </references>
      </pivotArea>
    </format>
    <format dxfId="594">
      <pivotArea dataOnly="0" labelOnly="1" fieldPosition="0">
        <references count="2">
          <reference field="1" count="1" selected="0">
            <x v="472"/>
          </reference>
          <reference field="2" count="1">
            <x v="52"/>
          </reference>
        </references>
      </pivotArea>
    </format>
    <format dxfId="593">
      <pivotArea dataOnly="0" labelOnly="1" fieldPosition="0">
        <references count="2">
          <reference field="1" count="1" selected="0">
            <x v="473"/>
          </reference>
          <reference field="2" count="1">
            <x v="83"/>
          </reference>
        </references>
      </pivotArea>
    </format>
    <format dxfId="592">
      <pivotArea dataOnly="0" labelOnly="1" fieldPosition="0">
        <references count="2">
          <reference field="1" count="1" selected="0">
            <x v="474"/>
          </reference>
          <reference field="2" count="1">
            <x v="73"/>
          </reference>
        </references>
      </pivotArea>
    </format>
    <format dxfId="591">
      <pivotArea dataOnly="0" labelOnly="1" fieldPosition="0">
        <references count="2">
          <reference field="1" count="1" selected="0">
            <x v="475"/>
          </reference>
          <reference field="2" count="1">
            <x v="1"/>
          </reference>
        </references>
      </pivotArea>
    </format>
    <format dxfId="590">
      <pivotArea dataOnly="0" labelOnly="1" fieldPosition="0">
        <references count="2">
          <reference field="1" count="1" selected="0">
            <x v="476"/>
          </reference>
          <reference field="2" count="1">
            <x v="52"/>
          </reference>
        </references>
      </pivotArea>
    </format>
    <format dxfId="589">
      <pivotArea dataOnly="0" labelOnly="1" fieldPosition="0">
        <references count="2">
          <reference field="1" count="1" selected="0">
            <x v="477"/>
          </reference>
          <reference field="2" count="1">
            <x v="52"/>
          </reference>
        </references>
      </pivotArea>
    </format>
    <format dxfId="588">
      <pivotArea dataOnly="0" labelOnly="1" fieldPosition="0">
        <references count="2">
          <reference field="1" count="1" selected="0">
            <x v="478"/>
          </reference>
          <reference field="2" count="1">
            <x v="34"/>
          </reference>
        </references>
      </pivotArea>
    </format>
    <format dxfId="587">
      <pivotArea dataOnly="0" labelOnly="1" fieldPosition="0">
        <references count="2">
          <reference field="1" count="1" selected="0">
            <x v="479"/>
          </reference>
          <reference field="2" count="1">
            <x v="47"/>
          </reference>
        </references>
      </pivotArea>
    </format>
    <format dxfId="586">
      <pivotArea dataOnly="0" labelOnly="1" fieldPosition="0">
        <references count="2">
          <reference field="1" count="1" selected="0">
            <x v="480"/>
          </reference>
          <reference field="2" count="1">
            <x v="1"/>
          </reference>
        </references>
      </pivotArea>
    </format>
    <format dxfId="585">
      <pivotArea dataOnly="0" labelOnly="1" fieldPosition="0">
        <references count="2">
          <reference field="1" count="1" selected="0">
            <x v="481"/>
          </reference>
          <reference field="2" count="1">
            <x v="86"/>
          </reference>
        </references>
      </pivotArea>
    </format>
    <format dxfId="584">
      <pivotArea dataOnly="0" labelOnly="1" fieldPosition="0">
        <references count="2">
          <reference field="1" count="1" selected="0">
            <x v="482"/>
          </reference>
          <reference field="2" count="1">
            <x v="52"/>
          </reference>
        </references>
      </pivotArea>
    </format>
    <format dxfId="583">
      <pivotArea dataOnly="0" labelOnly="1" fieldPosition="0">
        <references count="2">
          <reference field="1" count="1" selected="0">
            <x v="483"/>
          </reference>
          <reference field="2" count="1">
            <x v="18"/>
          </reference>
        </references>
      </pivotArea>
    </format>
    <format dxfId="582">
      <pivotArea dataOnly="0" labelOnly="1" fieldPosition="0">
        <references count="2">
          <reference field="1" count="1" selected="0">
            <x v="484"/>
          </reference>
          <reference field="2" count="1">
            <x v="55"/>
          </reference>
        </references>
      </pivotArea>
    </format>
    <format dxfId="581">
      <pivotArea dataOnly="0" labelOnly="1" fieldPosition="0">
        <references count="2">
          <reference field="1" count="1" selected="0">
            <x v="485"/>
          </reference>
          <reference field="2" count="1">
            <x v="23"/>
          </reference>
        </references>
      </pivotArea>
    </format>
    <format dxfId="580">
      <pivotArea dataOnly="0" labelOnly="1" fieldPosition="0">
        <references count="2">
          <reference field="1" count="1" selected="0">
            <x v="486"/>
          </reference>
          <reference field="2" count="1">
            <x v="86"/>
          </reference>
        </references>
      </pivotArea>
    </format>
    <format dxfId="579">
      <pivotArea dataOnly="0" labelOnly="1" fieldPosition="0">
        <references count="2">
          <reference field="1" count="1" selected="0">
            <x v="487"/>
          </reference>
          <reference field="2" count="1">
            <x v="68"/>
          </reference>
        </references>
      </pivotArea>
    </format>
    <format dxfId="578">
      <pivotArea dataOnly="0" labelOnly="1" fieldPosition="0">
        <references count="2">
          <reference field="1" count="1" selected="0">
            <x v="488"/>
          </reference>
          <reference field="2" count="1">
            <x v="66"/>
          </reference>
        </references>
      </pivotArea>
    </format>
    <format dxfId="577">
      <pivotArea dataOnly="0" labelOnly="1" fieldPosition="0">
        <references count="2">
          <reference field="1" count="1" selected="0">
            <x v="489"/>
          </reference>
          <reference field="2" count="1">
            <x v="52"/>
          </reference>
        </references>
      </pivotArea>
    </format>
    <format dxfId="576">
      <pivotArea dataOnly="0" labelOnly="1" fieldPosition="0">
        <references count="2">
          <reference field="1" count="1" selected="0">
            <x v="490"/>
          </reference>
          <reference field="2" count="1">
            <x v="34"/>
          </reference>
        </references>
      </pivotArea>
    </format>
    <format dxfId="575">
      <pivotArea dataOnly="0" labelOnly="1" fieldPosition="0">
        <references count="2">
          <reference field="1" count="1" selected="0">
            <x v="491"/>
          </reference>
          <reference field="2" count="1">
            <x v="23"/>
          </reference>
        </references>
      </pivotArea>
    </format>
    <format dxfId="574">
      <pivotArea dataOnly="0" labelOnly="1" fieldPosition="0">
        <references count="2">
          <reference field="1" count="1" selected="0">
            <x v="492"/>
          </reference>
          <reference field="2" count="1">
            <x v="90"/>
          </reference>
        </references>
      </pivotArea>
    </format>
    <format dxfId="573">
      <pivotArea dataOnly="0" labelOnly="1" fieldPosition="0">
        <references count="2">
          <reference field="1" count="1" selected="0">
            <x v="493"/>
          </reference>
          <reference field="2" count="1">
            <x v="34"/>
          </reference>
        </references>
      </pivotArea>
    </format>
    <format dxfId="572">
      <pivotArea dataOnly="0" labelOnly="1" fieldPosition="0">
        <references count="2">
          <reference field="1" count="1" selected="0">
            <x v="494"/>
          </reference>
          <reference field="2" count="1">
            <x v="23"/>
          </reference>
        </references>
      </pivotArea>
    </format>
    <format dxfId="571">
      <pivotArea dataOnly="0" labelOnly="1" fieldPosition="0">
        <references count="2">
          <reference field="1" count="1" selected="0">
            <x v="495"/>
          </reference>
          <reference field="2" count="1">
            <x v="90"/>
          </reference>
        </references>
      </pivotArea>
    </format>
    <format dxfId="570">
      <pivotArea dataOnly="0" labelOnly="1" fieldPosition="0">
        <references count="2">
          <reference field="1" count="1" selected="0">
            <x v="496"/>
          </reference>
          <reference field="2" count="1">
            <x v="34"/>
          </reference>
        </references>
      </pivotArea>
    </format>
    <format dxfId="569">
      <pivotArea dataOnly="0" labelOnly="1" fieldPosition="0">
        <references count="2">
          <reference field="1" count="1" selected="0">
            <x v="497"/>
          </reference>
          <reference field="2" count="1">
            <x v="51"/>
          </reference>
        </references>
      </pivotArea>
    </format>
    <format dxfId="568">
      <pivotArea dataOnly="0" labelOnly="1" fieldPosition="0">
        <references count="2">
          <reference field="1" count="1" selected="0">
            <x v="498"/>
          </reference>
          <reference field="2" count="1">
            <x v="23"/>
          </reference>
        </references>
      </pivotArea>
    </format>
    <format dxfId="567">
      <pivotArea dataOnly="0" labelOnly="1" fieldPosition="0">
        <references count="2">
          <reference field="1" count="1" selected="0">
            <x v="499"/>
          </reference>
          <reference field="2" count="1">
            <x v="34"/>
          </reference>
        </references>
      </pivotArea>
    </format>
    <format dxfId="566">
      <pivotArea dataOnly="0" labelOnly="1" fieldPosition="0">
        <references count="2">
          <reference field="1" count="1" selected="0">
            <x v="500"/>
          </reference>
          <reference field="2" count="1">
            <x v="52"/>
          </reference>
        </references>
      </pivotArea>
    </format>
    <format dxfId="565">
      <pivotArea dataOnly="0" labelOnly="1" fieldPosition="0">
        <references count="2">
          <reference field="1" count="1" selected="0">
            <x v="501"/>
          </reference>
          <reference field="2" count="1">
            <x v="90"/>
          </reference>
        </references>
      </pivotArea>
    </format>
    <format dxfId="564">
      <pivotArea dataOnly="0" labelOnly="1" fieldPosition="0">
        <references count="2">
          <reference field="1" count="1" selected="0">
            <x v="502"/>
          </reference>
          <reference field="2" count="1">
            <x v="52"/>
          </reference>
        </references>
      </pivotArea>
    </format>
    <format dxfId="563">
      <pivotArea dataOnly="0" labelOnly="1" fieldPosition="0">
        <references count="2">
          <reference field="1" count="1" selected="0">
            <x v="503"/>
          </reference>
          <reference field="2" count="1">
            <x v="99"/>
          </reference>
        </references>
      </pivotArea>
    </format>
    <format dxfId="562">
      <pivotArea dataOnly="0" labelOnly="1" fieldPosition="0">
        <references count="2">
          <reference field="1" count="1" selected="0">
            <x v="504"/>
          </reference>
          <reference field="2" count="1">
            <x v="23"/>
          </reference>
        </references>
      </pivotArea>
    </format>
    <format dxfId="561">
      <pivotArea dataOnly="0" labelOnly="1" fieldPosition="0">
        <references count="2">
          <reference field="1" count="1" selected="0">
            <x v="505"/>
          </reference>
          <reference field="2" count="1">
            <x v="53"/>
          </reference>
        </references>
      </pivotArea>
    </format>
    <format dxfId="560">
      <pivotArea dataOnly="0" labelOnly="1" fieldPosition="0">
        <references count="2">
          <reference field="1" count="1" selected="0">
            <x v="506"/>
          </reference>
          <reference field="2" count="1">
            <x v="50"/>
          </reference>
        </references>
      </pivotArea>
    </format>
    <format dxfId="559">
      <pivotArea dataOnly="0" labelOnly="1" fieldPosition="0">
        <references count="2">
          <reference field="1" count="1" selected="0">
            <x v="507"/>
          </reference>
          <reference field="2" count="1">
            <x v="34"/>
          </reference>
        </references>
      </pivotArea>
    </format>
    <format dxfId="558">
      <pivotArea dataOnly="0" labelOnly="1" fieldPosition="0">
        <references count="2">
          <reference field="1" count="1" selected="0">
            <x v="508"/>
          </reference>
          <reference field="2" count="1">
            <x v="52"/>
          </reference>
        </references>
      </pivotArea>
    </format>
    <format dxfId="557">
      <pivotArea dataOnly="0" labelOnly="1" fieldPosition="0">
        <references count="2">
          <reference field="1" count="1" selected="0">
            <x v="509"/>
          </reference>
          <reference field="2" count="1">
            <x v="23"/>
          </reference>
        </references>
      </pivotArea>
    </format>
    <format dxfId="556">
      <pivotArea dataOnly="0" labelOnly="1" fieldPosition="0">
        <references count="2">
          <reference field="1" count="1" selected="0">
            <x v="510"/>
          </reference>
          <reference field="2" count="1">
            <x v="52"/>
          </reference>
        </references>
      </pivotArea>
    </format>
    <format dxfId="555">
      <pivotArea dataOnly="0" labelOnly="1" fieldPosition="0">
        <references count="2">
          <reference field="1" count="1" selected="0">
            <x v="511"/>
          </reference>
          <reference field="2" count="1">
            <x v="52"/>
          </reference>
        </references>
      </pivotArea>
    </format>
    <format dxfId="554">
      <pivotArea dataOnly="0" labelOnly="1" fieldPosition="0">
        <references count="2">
          <reference field="1" count="1" selected="0">
            <x v="512"/>
          </reference>
          <reference field="2" count="1">
            <x v="29"/>
          </reference>
        </references>
      </pivotArea>
    </format>
    <format dxfId="553">
      <pivotArea dataOnly="0" labelOnly="1" fieldPosition="0">
        <references count="2">
          <reference field="1" count="1" selected="0">
            <x v="513"/>
          </reference>
          <reference field="2" count="1">
            <x v="52"/>
          </reference>
        </references>
      </pivotArea>
    </format>
    <format dxfId="552">
      <pivotArea dataOnly="0" labelOnly="1" fieldPosition="0">
        <references count="2">
          <reference field="1" count="1" selected="0">
            <x v="514"/>
          </reference>
          <reference field="2" count="1">
            <x v="71"/>
          </reference>
        </references>
      </pivotArea>
    </format>
    <format dxfId="551">
      <pivotArea dataOnly="0" labelOnly="1" fieldPosition="0">
        <references count="2">
          <reference field="1" count="1" selected="0">
            <x v="515"/>
          </reference>
          <reference field="2" count="1">
            <x v="1"/>
          </reference>
        </references>
      </pivotArea>
    </format>
    <format dxfId="550">
      <pivotArea dataOnly="0" labelOnly="1" fieldPosition="0">
        <references count="2">
          <reference field="1" count="1" selected="0">
            <x v="516"/>
          </reference>
          <reference field="2" count="1">
            <x v="66"/>
          </reference>
        </references>
      </pivotArea>
    </format>
    <format dxfId="549">
      <pivotArea dataOnly="0" labelOnly="1" fieldPosition="0">
        <references count="2">
          <reference field="1" count="1" selected="0">
            <x v="517"/>
          </reference>
          <reference field="2" count="1">
            <x v="53"/>
          </reference>
        </references>
      </pivotArea>
    </format>
    <format dxfId="548">
      <pivotArea dataOnly="0" labelOnly="1" fieldPosition="0">
        <references count="2">
          <reference field="1" count="1" selected="0">
            <x v="518"/>
          </reference>
          <reference field="2" count="1">
            <x v="34"/>
          </reference>
        </references>
      </pivotArea>
    </format>
    <format dxfId="547">
      <pivotArea dataOnly="0" labelOnly="1" fieldPosition="0">
        <references count="2">
          <reference field="1" count="1" selected="0">
            <x v="519"/>
          </reference>
          <reference field="2" count="1">
            <x v="12"/>
          </reference>
        </references>
      </pivotArea>
    </format>
    <format dxfId="546">
      <pivotArea dataOnly="0" labelOnly="1" fieldPosition="0">
        <references count="2">
          <reference field="1" count="1" selected="0">
            <x v="520"/>
          </reference>
          <reference field="2" count="1">
            <x v="85"/>
          </reference>
        </references>
      </pivotArea>
    </format>
    <format dxfId="545">
      <pivotArea dataOnly="0" labelOnly="1" fieldPosition="0">
        <references count="2">
          <reference field="1" count="1" selected="0">
            <x v="521"/>
          </reference>
          <reference field="2" count="1">
            <x v="41"/>
          </reference>
        </references>
      </pivotArea>
    </format>
    <format dxfId="544">
      <pivotArea dataOnly="0" labelOnly="1" fieldPosition="0">
        <references count="2">
          <reference field="1" count="1" selected="0">
            <x v="522"/>
          </reference>
          <reference field="2" count="1">
            <x v="41"/>
          </reference>
        </references>
      </pivotArea>
    </format>
    <format dxfId="543">
      <pivotArea dataOnly="0" labelOnly="1" fieldPosition="0">
        <references count="2">
          <reference field="1" count="1" selected="0">
            <x v="523"/>
          </reference>
          <reference field="2" count="1">
            <x v="41"/>
          </reference>
        </references>
      </pivotArea>
    </format>
    <format dxfId="542">
      <pivotArea dataOnly="0" labelOnly="1" fieldPosition="0">
        <references count="2">
          <reference field="1" count="1" selected="0">
            <x v="524"/>
          </reference>
          <reference field="2" count="1">
            <x v="52"/>
          </reference>
        </references>
      </pivotArea>
    </format>
    <format dxfId="541">
      <pivotArea dataOnly="0" labelOnly="1" fieldPosition="0">
        <references count="2">
          <reference field="1" count="1" selected="0">
            <x v="525"/>
          </reference>
          <reference field="2" count="1">
            <x v="34"/>
          </reference>
        </references>
      </pivotArea>
    </format>
    <format dxfId="540">
      <pivotArea dataOnly="0" labelOnly="1" fieldPosition="0">
        <references count="2">
          <reference field="1" count="1" selected="0">
            <x v="526"/>
          </reference>
          <reference field="2" count="1">
            <x v="66"/>
          </reference>
        </references>
      </pivotArea>
    </format>
    <format dxfId="539">
      <pivotArea dataOnly="0" labelOnly="1" fieldPosition="0">
        <references count="2">
          <reference field="1" count="1" selected="0">
            <x v="527"/>
          </reference>
          <reference field="2" count="1">
            <x v="52"/>
          </reference>
        </references>
      </pivotArea>
    </format>
    <format dxfId="538">
      <pivotArea dataOnly="0" labelOnly="1" fieldPosition="0">
        <references count="2">
          <reference field="1" count="1" selected="0">
            <x v="528"/>
          </reference>
          <reference field="2" count="1">
            <x v="52"/>
          </reference>
        </references>
      </pivotArea>
    </format>
    <format dxfId="537">
      <pivotArea dataOnly="0" labelOnly="1" fieldPosition="0">
        <references count="2">
          <reference field="1" count="1" selected="0">
            <x v="529"/>
          </reference>
          <reference field="2" count="1">
            <x v="73"/>
          </reference>
        </references>
      </pivotArea>
    </format>
    <format dxfId="536">
      <pivotArea dataOnly="0" labelOnly="1" fieldPosition="0">
        <references count="2">
          <reference field="1" count="1" selected="0">
            <x v="530"/>
          </reference>
          <reference field="2" count="1">
            <x v="91"/>
          </reference>
        </references>
      </pivotArea>
    </format>
    <format dxfId="535">
      <pivotArea dataOnly="0" labelOnly="1" fieldPosition="0">
        <references count="2">
          <reference field="1" count="1" selected="0">
            <x v="531"/>
          </reference>
          <reference field="2" count="1">
            <x v="1"/>
          </reference>
        </references>
      </pivotArea>
    </format>
    <format dxfId="534">
      <pivotArea dataOnly="0" labelOnly="1" fieldPosition="0">
        <references count="2">
          <reference field="1" count="1" selected="0">
            <x v="532"/>
          </reference>
          <reference field="2" count="1">
            <x v="56"/>
          </reference>
        </references>
      </pivotArea>
    </format>
    <format dxfId="533">
      <pivotArea dataOnly="0" labelOnly="1" fieldPosition="0">
        <references count="2">
          <reference field="1" count="1" selected="0">
            <x v="533"/>
          </reference>
          <reference field="2" count="1">
            <x v="44"/>
          </reference>
        </references>
      </pivotArea>
    </format>
    <format dxfId="532">
      <pivotArea dataOnly="0" labelOnly="1" fieldPosition="0">
        <references count="2">
          <reference field="1" count="1" selected="0">
            <x v="534"/>
          </reference>
          <reference field="2" count="1">
            <x v="54"/>
          </reference>
        </references>
      </pivotArea>
    </format>
    <format dxfId="531">
      <pivotArea dataOnly="0" labelOnly="1" fieldPosition="0">
        <references count="2">
          <reference field="1" count="1" selected="0">
            <x v="535"/>
          </reference>
          <reference field="2" count="1">
            <x v="91"/>
          </reference>
        </references>
      </pivotArea>
    </format>
    <format dxfId="530">
      <pivotArea dataOnly="0" labelOnly="1" fieldPosition="0">
        <references count="2">
          <reference field="1" count="1" selected="0">
            <x v="536"/>
          </reference>
          <reference field="2" count="1">
            <x v="9"/>
          </reference>
        </references>
      </pivotArea>
    </format>
    <format dxfId="529">
      <pivotArea dataOnly="0" labelOnly="1" fieldPosition="0">
        <references count="2">
          <reference field="1" count="1" selected="0">
            <x v="537"/>
          </reference>
          <reference field="2" count="1">
            <x v="86"/>
          </reference>
        </references>
      </pivotArea>
    </format>
    <format dxfId="528">
      <pivotArea dataOnly="0" labelOnly="1" fieldPosition="0">
        <references count="2">
          <reference field="1" count="1" selected="0">
            <x v="538"/>
          </reference>
          <reference field="2" count="2">
            <x v="1"/>
            <x v="12"/>
          </reference>
        </references>
      </pivotArea>
    </format>
    <format dxfId="527">
      <pivotArea dataOnly="0" labelOnly="1" fieldPosition="0">
        <references count="2">
          <reference field="1" count="1" selected="0">
            <x v="539"/>
          </reference>
          <reference field="2" count="1">
            <x v="102"/>
          </reference>
        </references>
      </pivotArea>
    </format>
    <format dxfId="526">
      <pivotArea dataOnly="0" labelOnly="1" fieldPosition="0">
        <references count="2">
          <reference field="1" count="1" selected="0">
            <x v="540"/>
          </reference>
          <reference field="2" count="1">
            <x v="53"/>
          </reference>
        </references>
      </pivotArea>
    </format>
    <format dxfId="525">
      <pivotArea dataOnly="0" labelOnly="1" fieldPosition="0">
        <references count="2">
          <reference field="1" count="1" selected="0">
            <x v="541"/>
          </reference>
          <reference field="2" count="1">
            <x v="34"/>
          </reference>
        </references>
      </pivotArea>
    </format>
    <format dxfId="524">
      <pivotArea dataOnly="0" labelOnly="1" fieldPosition="0">
        <references count="2">
          <reference field="1" count="1" selected="0">
            <x v="542"/>
          </reference>
          <reference field="2" count="1">
            <x v="23"/>
          </reference>
        </references>
      </pivotArea>
    </format>
    <format dxfId="523">
      <pivotArea dataOnly="0" labelOnly="1" fieldPosition="0">
        <references count="2">
          <reference field="1" count="1" selected="0">
            <x v="543"/>
          </reference>
          <reference field="2" count="1">
            <x v="38"/>
          </reference>
        </references>
      </pivotArea>
    </format>
    <format dxfId="522">
      <pivotArea dataOnly="0" labelOnly="1" fieldPosition="0">
        <references count="2">
          <reference field="1" count="1" selected="0">
            <x v="544"/>
          </reference>
          <reference field="2" count="1">
            <x v="53"/>
          </reference>
        </references>
      </pivotArea>
    </format>
    <format dxfId="521">
      <pivotArea dataOnly="0" labelOnly="1" fieldPosition="0">
        <references count="2">
          <reference field="1" count="1" selected="0">
            <x v="545"/>
          </reference>
          <reference field="2" count="1">
            <x v="34"/>
          </reference>
        </references>
      </pivotArea>
    </format>
    <format dxfId="520">
      <pivotArea dataOnly="0" labelOnly="1" fieldPosition="0">
        <references count="2">
          <reference field="1" count="1" selected="0">
            <x v="546"/>
          </reference>
          <reference field="2" count="1">
            <x v="52"/>
          </reference>
        </references>
      </pivotArea>
    </format>
    <format dxfId="519">
      <pivotArea dataOnly="0" labelOnly="1" fieldPosition="0">
        <references count="2">
          <reference field="1" count="1" selected="0">
            <x v="547"/>
          </reference>
          <reference field="2" count="1">
            <x v="1"/>
          </reference>
        </references>
      </pivotArea>
    </format>
    <format dxfId="518">
      <pivotArea dataOnly="0" labelOnly="1" fieldPosition="0">
        <references count="2">
          <reference field="1" count="1" selected="0">
            <x v="548"/>
          </reference>
          <reference field="2" count="1">
            <x v="1"/>
          </reference>
        </references>
      </pivotArea>
    </format>
    <format dxfId="517">
      <pivotArea dataOnly="0" labelOnly="1" fieldPosition="0">
        <references count="2">
          <reference field="1" count="1" selected="0">
            <x v="549"/>
          </reference>
          <reference field="2" count="1">
            <x v="52"/>
          </reference>
        </references>
      </pivotArea>
    </format>
    <format dxfId="516">
      <pivotArea dataOnly="0" labelOnly="1" fieldPosition="0">
        <references count="2">
          <reference field="1" count="1" selected="0">
            <x v="550"/>
          </reference>
          <reference field="2" count="1">
            <x v="73"/>
          </reference>
        </references>
      </pivotArea>
    </format>
    <format dxfId="515">
      <pivotArea dataOnly="0" labelOnly="1" fieldPosition="0">
        <references count="2">
          <reference field="1" count="1" selected="0">
            <x v="551"/>
          </reference>
          <reference field="2" count="1">
            <x v="23"/>
          </reference>
        </references>
      </pivotArea>
    </format>
    <format dxfId="514">
      <pivotArea dataOnly="0" labelOnly="1" fieldPosition="0">
        <references count="2">
          <reference field="1" count="1" selected="0">
            <x v="552"/>
          </reference>
          <reference field="2" count="1">
            <x v="88"/>
          </reference>
        </references>
      </pivotArea>
    </format>
    <format dxfId="513">
      <pivotArea dataOnly="0" labelOnly="1" fieldPosition="0">
        <references count="2">
          <reference field="1" count="1" selected="0">
            <x v="553"/>
          </reference>
          <reference field="2" count="1">
            <x v="23"/>
          </reference>
        </references>
      </pivotArea>
    </format>
    <format dxfId="512">
      <pivotArea dataOnly="0" labelOnly="1" fieldPosition="0">
        <references count="2">
          <reference field="1" count="1" selected="0">
            <x v="554"/>
          </reference>
          <reference field="2" count="1">
            <x v="57"/>
          </reference>
        </references>
      </pivotArea>
    </format>
    <format dxfId="511">
      <pivotArea dataOnly="0" labelOnly="1" fieldPosition="0">
        <references count="2">
          <reference field="1" count="1" selected="0">
            <x v="555"/>
          </reference>
          <reference field="2" count="1">
            <x v="1"/>
          </reference>
        </references>
      </pivotArea>
    </format>
    <format dxfId="510">
      <pivotArea dataOnly="0" labelOnly="1" fieldPosition="0">
        <references count="2">
          <reference field="1" count="1" selected="0">
            <x v="556"/>
          </reference>
          <reference field="2" count="1">
            <x v="99"/>
          </reference>
        </references>
      </pivotArea>
    </format>
    <format dxfId="509">
      <pivotArea dataOnly="0" labelOnly="1" fieldPosition="0">
        <references count="2">
          <reference field="1" count="1" selected="0">
            <x v="557"/>
          </reference>
          <reference field="2" count="1">
            <x v="91"/>
          </reference>
        </references>
      </pivotArea>
    </format>
    <format dxfId="508">
      <pivotArea dataOnly="0" labelOnly="1" fieldPosition="0">
        <references count="2">
          <reference field="1" count="1" selected="0">
            <x v="558"/>
          </reference>
          <reference field="2" count="1">
            <x v="23"/>
          </reference>
        </references>
      </pivotArea>
    </format>
    <format dxfId="507">
      <pivotArea dataOnly="0" labelOnly="1" fieldPosition="0">
        <references count="2">
          <reference field="1" count="1" selected="0">
            <x v="559"/>
          </reference>
          <reference field="2" count="1">
            <x v="49"/>
          </reference>
        </references>
      </pivotArea>
    </format>
    <format dxfId="506">
      <pivotArea dataOnly="0" labelOnly="1" fieldPosition="0">
        <references count="2">
          <reference field="1" count="1" selected="0">
            <x v="560"/>
          </reference>
          <reference field="2" count="1">
            <x v="52"/>
          </reference>
        </references>
      </pivotArea>
    </format>
    <format dxfId="505">
      <pivotArea dataOnly="0" labelOnly="1" fieldPosition="0">
        <references count="2">
          <reference field="1" count="1" selected="0">
            <x v="561"/>
          </reference>
          <reference field="2" count="1">
            <x v="44"/>
          </reference>
        </references>
      </pivotArea>
    </format>
    <format dxfId="504">
      <pivotArea dataOnly="0" labelOnly="1" fieldPosition="0">
        <references count="2">
          <reference field="1" count="1" selected="0">
            <x v="562"/>
          </reference>
          <reference field="2" count="1">
            <x v="21"/>
          </reference>
        </references>
      </pivotArea>
    </format>
    <format dxfId="503">
      <pivotArea dataOnly="0" labelOnly="1" fieldPosition="0">
        <references count="2">
          <reference field="1" count="1" selected="0">
            <x v="563"/>
          </reference>
          <reference field="2" count="1">
            <x v="15"/>
          </reference>
        </references>
      </pivotArea>
    </format>
    <format dxfId="502">
      <pivotArea dataOnly="0" labelOnly="1" fieldPosition="0">
        <references count="2">
          <reference field="1" count="1" selected="0">
            <x v="564"/>
          </reference>
          <reference field="2" count="1">
            <x v="34"/>
          </reference>
        </references>
      </pivotArea>
    </format>
    <format dxfId="501">
      <pivotArea dataOnly="0" labelOnly="1" fieldPosition="0">
        <references count="2">
          <reference field="1" count="1" selected="0">
            <x v="565"/>
          </reference>
          <reference field="2" count="1">
            <x v="80"/>
          </reference>
        </references>
      </pivotArea>
    </format>
    <format dxfId="500">
      <pivotArea dataOnly="0" labelOnly="1" fieldPosition="0">
        <references count="2">
          <reference field="1" count="1" selected="0">
            <x v="566"/>
          </reference>
          <reference field="2" count="1">
            <x v="97"/>
          </reference>
        </references>
      </pivotArea>
    </format>
    <format dxfId="499">
      <pivotArea dataOnly="0" labelOnly="1" fieldPosition="0">
        <references count="2">
          <reference field="1" count="1" selected="0">
            <x v="567"/>
          </reference>
          <reference field="2" count="1">
            <x v="23"/>
          </reference>
        </references>
      </pivotArea>
    </format>
    <format dxfId="498">
      <pivotArea dataOnly="0" labelOnly="1" fieldPosition="0">
        <references count="2">
          <reference field="1" count="1" selected="0">
            <x v="568"/>
          </reference>
          <reference field="2" count="1">
            <x v="53"/>
          </reference>
        </references>
      </pivotArea>
    </format>
    <format dxfId="497">
      <pivotArea dataOnly="0" labelOnly="1" fieldPosition="0">
        <references count="2">
          <reference field="1" count="1" selected="0">
            <x v="569"/>
          </reference>
          <reference field="2" count="1">
            <x v="1"/>
          </reference>
        </references>
      </pivotArea>
    </format>
    <format dxfId="496">
      <pivotArea dataOnly="0" labelOnly="1" fieldPosition="0">
        <references count="2">
          <reference field="1" count="1" selected="0">
            <x v="570"/>
          </reference>
          <reference field="2" count="1">
            <x v="91"/>
          </reference>
        </references>
      </pivotArea>
    </format>
    <format dxfId="495">
      <pivotArea dataOnly="0" labelOnly="1" fieldPosition="0">
        <references count="2">
          <reference field="1" count="1" selected="0">
            <x v="571"/>
          </reference>
          <reference field="2" count="1">
            <x v="34"/>
          </reference>
        </references>
      </pivotArea>
    </format>
    <format dxfId="494">
      <pivotArea dataOnly="0" labelOnly="1" fieldPosition="0">
        <references count="2">
          <reference field="1" count="1" selected="0">
            <x v="572"/>
          </reference>
          <reference field="2" count="1">
            <x v="52"/>
          </reference>
        </references>
      </pivotArea>
    </format>
    <format dxfId="493">
      <pivotArea dataOnly="0" labelOnly="1" fieldPosition="0">
        <references count="2">
          <reference field="1" count="1" selected="0">
            <x v="573"/>
          </reference>
          <reference field="2" count="1">
            <x v="48"/>
          </reference>
        </references>
      </pivotArea>
    </format>
    <format dxfId="492">
      <pivotArea dataOnly="0" labelOnly="1" fieldPosition="0">
        <references count="2">
          <reference field="1" count="1" selected="0">
            <x v="574"/>
          </reference>
          <reference field="2" count="1">
            <x v="23"/>
          </reference>
        </references>
      </pivotArea>
    </format>
    <format dxfId="491">
      <pivotArea dataOnly="0" labelOnly="1" fieldPosition="0">
        <references count="2">
          <reference field="1" count="1" selected="0">
            <x v="575"/>
          </reference>
          <reference field="2" count="1">
            <x v="34"/>
          </reference>
        </references>
      </pivotArea>
    </format>
    <format dxfId="490">
      <pivotArea dataOnly="0" labelOnly="1" fieldPosition="0">
        <references count="2">
          <reference field="1" count="1" selected="0">
            <x v="576"/>
          </reference>
          <reference field="2" count="1">
            <x v="8"/>
          </reference>
        </references>
      </pivotArea>
    </format>
    <format dxfId="489">
      <pivotArea dataOnly="0" labelOnly="1" fieldPosition="0">
        <references count="2">
          <reference field="1" count="1" selected="0">
            <x v="577"/>
          </reference>
          <reference field="2" count="1">
            <x v="1"/>
          </reference>
        </references>
      </pivotArea>
    </format>
    <format dxfId="488">
      <pivotArea dataOnly="0" labelOnly="1" fieldPosition="0">
        <references count="2">
          <reference field="1" count="1" selected="0">
            <x v="578"/>
          </reference>
          <reference field="2" count="1">
            <x v="52"/>
          </reference>
        </references>
      </pivotArea>
    </format>
    <format dxfId="487">
      <pivotArea dataOnly="0" labelOnly="1" fieldPosition="0">
        <references count="2">
          <reference field="1" count="1" selected="0">
            <x v="579"/>
          </reference>
          <reference field="2" count="1">
            <x v="1"/>
          </reference>
        </references>
      </pivotArea>
    </format>
    <format dxfId="486">
      <pivotArea dataOnly="0" labelOnly="1" fieldPosition="0">
        <references count="2">
          <reference field="1" count="1" selected="0">
            <x v="580"/>
          </reference>
          <reference field="2" count="1">
            <x v="23"/>
          </reference>
        </references>
      </pivotArea>
    </format>
    <format dxfId="485">
      <pivotArea dataOnly="0" labelOnly="1" fieldPosition="0">
        <references count="2">
          <reference field="1" count="1" selected="0">
            <x v="581"/>
          </reference>
          <reference field="2" count="1">
            <x v="6"/>
          </reference>
        </references>
      </pivotArea>
    </format>
    <format dxfId="484">
      <pivotArea dataOnly="0" labelOnly="1" fieldPosition="0">
        <references count="2">
          <reference field="1" count="1" selected="0">
            <x v="582"/>
          </reference>
          <reference field="2" count="1">
            <x v="18"/>
          </reference>
        </references>
      </pivotArea>
    </format>
    <format dxfId="483">
      <pivotArea dataOnly="0" labelOnly="1" fieldPosition="0">
        <references count="2">
          <reference field="1" count="1" selected="0">
            <x v="583"/>
          </reference>
          <reference field="2" count="1">
            <x v="38"/>
          </reference>
        </references>
      </pivotArea>
    </format>
    <format dxfId="482">
      <pivotArea dataOnly="0" labelOnly="1" fieldPosition="0">
        <references count="2">
          <reference field="1" count="1" selected="0">
            <x v="584"/>
          </reference>
          <reference field="2" count="1">
            <x v="86"/>
          </reference>
        </references>
      </pivotArea>
    </format>
    <format dxfId="481">
      <pivotArea dataOnly="0" labelOnly="1" fieldPosition="0">
        <references count="2">
          <reference field="1" count="1" selected="0">
            <x v="585"/>
          </reference>
          <reference field="2" count="1">
            <x v="63"/>
          </reference>
        </references>
      </pivotArea>
    </format>
    <format dxfId="480">
      <pivotArea dataOnly="0" labelOnly="1" fieldPosition="0">
        <references count="2">
          <reference field="1" count="1" selected="0">
            <x v="586"/>
          </reference>
          <reference field="2" count="1">
            <x v="23"/>
          </reference>
        </references>
      </pivotArea>
    </format>
    <format dxfId="479">
      <pivotArea dataOnly="0" labelOnly="1" fieldPosition="0">
        <references count="2">
          <reference field="1" count="1" selected="0">
            <x v="587"/>
          </reference>
          <reference field="2" count="1">
            <x v="96"/>
          </reference>
        </references>
      </pivotArea>
    </format>
    <format dxfId="478">
      <pivotArea dataOnly="0" labelOnly="1" fieldPosition="0">
        <references count="2">
          <reference field="1" count="1" selected="0">
            <x v="588"/>
          </reference>
          <reference field="2" count="1">
            <x v="53"/>
          </reference>
        </references>
      </pivotArea>
    </format>
    <format dxfId="477">
      <pivotArea dataOnly="0" labelOnly="1" fieldPosition="0">
        <references count="2">
          <reference field="1" count="1" selected="0">
            <x v="589"/>
          </reference>
          <reference field="2" count="1">
            <x v="1"/>
          </reference>
        </references>
      </pivotArea>
    </format>
    <format dxfId="476">
      <pivotArea dataOnly="0" labelOnly="1" fieldPosition="0">
        <references count="2">
          <reference field="1" count="1" selected="0">
            <x v="590"/>
          </reference>
          <reference field="2" count="1">
            <x v="53"/>
          </reference>
        </references>
      </pivotArea>
    </format>
    <format dxfId="475">
      <pivotArea dataOnly="0" labelOnly="1" fieldPosition="0">
        <references count="2">
          <reference field="1" count="1" selected="0">
            <x v="591"/>
          </reference>
          <reference field="2" count="1">
            <x v="23"/>
          </reference>
        </references>
      </pivotArea>
    </format>
    <format dxfId="474">
      <pivotArea dataOnly="0" labelOnly="1" fieldPosition="0">
        <references count="2">
          <reference field="1" count="1" selected="0">
            <x v="592"/>
          </reference>
          <reference field="2" count="1">
            <x v="23"/>
          </reference>
        </references>
      </pivotArea>
    </format>
    <format dxfId="473">
      <pivotArea dataOnly="0" labelOnly="1" fieldPosition="0">
        <references count="2">
          <reference field="1" count="1" selected="0">
            <x v="593"/>
          </reference>
          <reference field="2" count="1">
            <x v="64"/>
          </reference>
        </references>
      </pivotArea>
    </format>
    <format dxfId="472">
      <pivotArea dataOnly="0" labelOnly="1" fieldPosition="0">
        <references count="2">
          <reference field="1" count="1" selected="0">
            <x v="594"/>
          </reference>
          <reference field="2" count="1">
            <x v="52"/>
          </reference>
        </references>
      </pivotArea>
    </format>
    <format dxfId="471">
      <pivotArea dataOnly="0" labelOnly="1" fieldPosition="0">
        <references count="2">
          <reference field="1" count="1" selected="0">
            <x v="595"/>
          </reference>
          <reference field="2" count="1">
            <x v="2"/>
          </reference>
        </references>
      </pivotArea>
    </format>
    <format dxfId="470">
      <pivotArea dataOnly="0" labelOnly="1" fieldPosition="0">
        <references count="2">
          <reference field="1" count="1" selected="0">
            <x v="596"/>
          </reference>
          <reference field="2" count="1">
            <x v="52"/>
          </reference>
        </references>
      </pivotArea>
    </format>
    <format dxfId="469">
      <pivotArea dataOnly="0" labelOnly="1" fieldPosition="0">
        <references count="2">
          <reference field="1" count="1" selected="0">
            <x v="597"/>
          </reference>
          <reference field="2" count="1">
            <x v="8"/>
          </reference>
        </references>
      </pivotArea>
    </format>
    <format dxfId="468">
      <pivotArea dataOnly="0" labelOnly="1" fieldPosition="0">
        <references count="2">
          <reference field="1" count="1" selected="0">
            <x v="598"/>
          </reference>
          <reference field="2" count="1">
            <x v="1"/>
          </reference>
        </references>
      </pivotArea>
    </format>
    <format dxfId="467">
      <pivotArea dataOnly="0" labelOnly="1" fieldPosition="0">
        <references count="2">
          <reference field="1" count="1" selected="0">
            <x v="599"/>
          </reference>
          <reference field="2" count="2">
            <x v="53"/>
            <x v="73"/>
          </reference>
        </references>
      </pivotArea>
    </format>
    <format dxfId="466">
      <pivotArea dataOnly="0" labelOnly="1" fieldPosition="0">
        <references count="2">
          <reference field="1" count="1" selected="0">
            <x v="600"/>
          </reference>
          <reference field="2" count="1">
            <x v="23"/>
          </reference>
        </references>
      </pivotArea>
    </format>
    <format dxfId="465">
      <pivotArea dataOnly="0" labelOnly="1" fieldPosition="0">
        <references count="2">
          <reference field="1" count="1" selected="0">
            <x v="601"/>
          </reference>
          <reference field="2" count="1">
            <x v="101"/>
          </reference>
        </references>
      </pivotArea>
    </format>
    <format dxfId="464">
      <pivotArea dataOnly="0" labelOnly="1" fieldPosition="0">
        <references count="2">
          <reference field="1" count="1" selected="0">
            <x v="602"/>
          </reference>
          <reference field="2" count="1">
            <x v="8"/>
          </reference>
        </references>
      </pivotArea>
    </format>
    <format dxfId="463">
      <pivotArea dataOnly="0" labelOnly="1" fieldPosition="0">
        <references count="2">
          <reference field="1" count="1" selected="0">
            <x v="603"/>
          </reference>
          <reference field="2" count="1">
            <x v="1"/>
          </reference>
        </references>
      </pivotArea>
    </format>
    <format dxfId="462">
      <pivotArea dataOnly="0" labelOnly="1" fieldPosition="0">
        <references count="2">
          <reference field="1" count="1" selected="0">
            <x v="604"/>
          </reference>
          <reference field="2" count="1">
            <x v="73"/>
          </reference>
        </references>
      </pivotArea>
    </format>
    <format dxfId="461">
      <pivotArea dataOnly="0" labelOnly="1" fieldPosition="0">
        <references count="2">
          <reference field="1" count="1" selected="0">
            <x v="605"/>
          </reference>
          <reference field="2" count="1">
            <x v="52"/>
          </reference>
        </references>
      </pivotArea>
    </format>
    <format dxfId="460">
      <pivotArea dataOnly="0" labelOnly="1" fieldPosition="0">
        <references count="2">
          <reference field="1" count="1" selected="0">
            <x v="606"/>
          </reference>
          <reference field="2" count="1">
            <x v="52"/>
          </reference>
        </references>
      </pivotArea>
    </format>
    <format dxfId="459">
      <pivotArea dataOnly="0" labelOnly="1" fieldPosition="0">
        <references count="2">
          <reference field="1" count="1" selected="0">
            <x v="607"/>
          </reference>
          <reference field="2" count="1">
            <x v="53"/>
          </reference>
        </references>
      </pivotArea>
    </format>
    <format dxfId="458">
      <pivotArea dataOnly="0" labelOnly="1" fieldPosition="0">
        <references count="2">
          <reference field="1" count="1" selected="0">
            <x v="608"/>
          </reference>
          <reference field="2" count="1">
            <x v="1"/>
          </reference>
        </references>
      </pivotArea>
    </format>
    <format dxfId="457">
      <pivotArea dataOnly="0" labelOnly="1" fieldPosition="0">
        <references count="2">
          <reference field="1" count="1" selected="0">
            <x v="609"/>
          </reference>
          <reference field="2" count="1">
            <x v="1"/>
          </reference>
        </references>
      </pivotArea>
    </format>
    <format dxfId="456">
      <pivotArea dataOnly="0" labelOnly="1" fieldPosition="0">
        <references count="2">
          <reference field="1" count="1" selected="0">
            <x v="610"/>
          </reference>
          <reference field="2" count="1">
            <x v="34"/>
          </reference>
        </references>
      </pivotArea>
    </format>
    <format dxfId="455">
      <pivotArea dataOnly="0" labelOnly="1" fieldPosition="0">
        <references count="2">
          <reference field="1" count="1" selected="0">
            <x v="611"/>
          </reference>
          <reference field="2" count="1">
            <x v="53"/>
          </reference>
        </references>
      </pivotArea>
    </format>
    <format dxfId="454">
      <pivotArea dataOnly="0" labelOnly="1" fieldPosition="0">
        <references count="2">
          <reference field="1" count="1" selected="0">
            <x v="612"/>
          </reference>
          <reference field="2" count="1">
            <x v="53"/>
          </reference>
        </references>
      </pivotArea>
    </format>
    <format dxfId="453">
      <pivotArea dataOnly="0" labelOnly="1" fieldPosition="0">
        <references count="2">
          <reference field="1" count="1" selected="0">
            <x v="613"/>
          </reference>
          <reference field="2" count="1">
            <x v="52"/>
          </reference>
        </references>
      </pivotArea>
    </format>
    <format dxfId="452">
      <pivotArea dataOnly="0" labelOnly="1" fieldPosition="0">
        <references count="2">
          <reference field="1" count="1" selected="0">
            <x v="614"/>
          </reference>
          <reference field="2" count="1">
            <x v="106"/>
          </reference>
        </references>
      </pivotArea>
    </format>
    <format dxfId="451">
      <pivotArea dataOnly="0" labelOnly="1" fieldPosition="0">
        <references count="2">
          <reference field="1" count="1" selected="0">
            <x v="615"/>
          </reference>
          <reference field="2" count="1">
            <x v="38"/>
          </reference>
        </references>
      </pivotArea>
    </format>
    <format dxfId="450">
      <pivotArea dataOnly="0" labelOnly="1" fieldPosition="0">
        <references count="2">
          <reference field="1" count="1" selected="0">
            <x v="616"/>
          </reference>
          <reference field="2" count="2">
            <x v="1"/>
            <x v="90"/>
          </reference>
        </references>
      </pivotArea>
    </format>
    <format dxfId="449">
      <pivotArea dataOnly="0" labelOnly="1" fieldPosition="0">
        <references count="2">
          <reference field="1" count="1" selected="0">
            <x v="617"/>
          </reference>
          <reference field="2" count="1">
            <x v="52"/>
          </reference>
        </references>
      </pivotArea>
    </format>
    <format dxfId="448">
      <pivotArea dataOnly="0" labelOnly="1" fieldPosition="0">
        <references count="2">
          <reference field="1" count="1" selected="0">
            <x v="618"/>
          </reference>
          <reference field="2" count="1">
            <x v="34"/>
          </reference>
        </references>
      </pivotArea>
    </format>
    <format dxfId="447">
      <pivotArea dataOnly="0" labelOnly="1" fieldPosition="0">
        <references count="2">
          <reference field="1" count="1" selected="0">
            <x v="619"/>
          </reference>
          <reference field="2" count="1">
            <x v="23"/>
          </reference>
        </references>
      </pivotArea>
    </format>
    <format dxfId="446">
      <pivotArea dataOnly="0" labelOnly="1" fieldPosition="0">
        <references count="2">
          <reference field="1" count="1" selected="0">
            <x v="620"/>
          </reference>
          <reference field="2" count="1">
            <x v="23"/>
          </reference>
        </references>
      </pivotArea>
    </format>
    <format dxfId="445">
      <pivotArea dataOnly="0" labelOnly="1" fieldPosition="0">
        <references count="2">
          <reference field="1" count="1" selected="0">
            <x v="621"/>
          </reference>
          <reference field="2" count="1">
            <x v="34"/>
          </reference>
        </references>
      </pivotArea>
    </format>
    <format dxfId="444">
      <pivotArea dataOnly="0" labelOnly="1" fieldPosition="0">
        <references count="2">
          <reference field="1" count="1" selected="0">
            <x v="622"/>
          </reference>
          <reference field="2" count="1">
            <x v="52"/>
          </reference>
        </references>
      </pivotArea>
    </format>
    <format dxfId="443">
      <pivotArea dataOnly="0" labelOnly="1" fieldPosition="0">
        <references count="2">
          <reference field="1" count="1" selected="0">
            <x v="623"/>
          </reference>
          <reference field="2" count="1">
            <x v="34"/>
          </reference>
        </references>
      </pivotArea>
    </format>
    <format dxfId="442">
      <pivotArea dataOnly="0" labelOnly="1" fieldPosition="0">
        <references count="2">
          <reference field="1" count="1" selected="0">
            <x v="624"/>
          </reference>
          <reference field="2" count="1">
            <x v="8"/>
          </reference>
        </references>
      </pivotArea>
    </format>
    <format dxfId="441">
      <pivotArea dataOnly="0" labelOnly="1" fieldPosition="0">
        <references count="2">
          <reference field="1" count="1" selected="0">
            <x v="625"/>
          </reference>
          <reference field="2" count="1">
            <x v="19"/>
          </reference>
        </references>
      </pivotArea>
    </format>
    <format dxfId="440">
      <pivotArea dataOnly="0" labelOnly="1" fieldPosition="0">
        <references count="2">
          <reference field="1" count="1" selected="0">
            <x v="626"/>
          </reference>
          <reference field="2" count="1">
            <x v="1"/>
          </reference>
        </references>
      </pivotArea>
    </format>
    <format dxfId="439">
      <pivotArea dataOnly="0" labelOnly="1" fieldPosition="0">
        <references count="2">
          <reference field="1" count="1" selected="0">
            <x v="627"/>
          </reference>
          <reference field="2" count="1">
            <x v="8"/>
          </reference>
        </references>
      </pivotArea>
    </format>
    <format dxfId="438">
      <pivotArea dataOnly="0" labelOnly="1" fieldPosition="0">
        <references count="2">
          <reference field="1" count="1" selected="0">
            <x v="628"/>
          </reference>
          <reference field="2" count="1">
            <x v="95"/>
          </reference>
        </references>
      </pivotArea>
    </format>
    <format dxfId="437">
      <pivotArea dataOnly="0" labelOnly="1" fieldPosition="0">
        <references count="2">
          <reference field="1" count="1" selected="0">
            <x v="629"/>
          </reference>
          <reference field="2" count="1">
            <x v="52"/>
          </reference>
        </references>
      </pivotArea>
    </format>
    <format dxfId="436">
      <pivotArea dataOnly="0" labelOnly="1" fieldPosition="0">
        <references count="2">
          <reference field="1" count="1" selected="0">
            <x v="630"/>
          </reference>
          <reference field="2" count="1">
            <x v="52"/>
          </reference>
        </references>
      </pivotArea>
    </format>
    <format dxfId="435">
      <pivotArea dataOnly="0" labelOnly="1" fieldPosition="0">
        <references count="2">
          <reference field="1" count="1" selected="0">
            <x v="631"/>
          </reference>
          <reference field="2" count="2">
            <x v="23"/>
            <x v="73"/>
          </reference>
        </references>
      </pivotArea>
    </format>
    <format dxfId="434">
      <pivotArea dataOnly="0" labelOnly="1" fieldPosition="0">
        <references count="2">
          <reference field="1" count="1" selected="0">
            <x v="632"/>
          </reference>
          <reference field="2" count="1">
            <x v="75"/>
          </reference>
        </references>
      </pivotArea>
    </format>
    <format dxfId="433">
      <pivotArea dataOnly="0" labelOnly="1" fieldPosition="0">
        <references count="2">
          <reference field="1" count="1" selected="0">
            <x v="633"/>
          </reference>
          <reference field="2" count="1">
            <x v="86"/>
          </reference>
        </references>
      </pivotArea>
    </format>
    <format dxfId="432">
      <pivotArea dataOnly="0" labelOnly="1" fieldPosition="0">
        <references count="2">
          <reference field="1" count="1" selected="0">
            <x v="634"/>
          </reference>
          <reference field="2" count="1">
            <x v="73"/>
          </reference>
        </references>
      </pivotArea>
    </format>
    <format dxfId="431">
      <pivotArea dataOnly="0" labelOnly="1" fieldPosition="0">
        <references count="2">
          <reference field="1" count="1" selected="0">
            <x v="635"/>
          </reference>
          <reference field="2" count="1">
            <x v="34"/>
          </reference>
        </references>
      </pivotArea>
    </format>
    <format dxfId="430">
      <pivotArea dataOnly="0" labelOnly="1" fieldPosition="0">
        <references count="2">
          <reference field="1" count="1" selected="0">
            <x v="636"/>
          </reference>
          <reference field="2" count="1">
            <x v="7"/>
          </reference>
        </references>
      </pivotArea>
    </format>
    <format dxfId="429">
      <pivotArea dataOnly="0" labelOnly="1" fieldPosition="0">
        <references count="2">
          <reference field="1" count="1" selected="0">
            <x v="637"/>
          </reference>
          <reference field="2" count="1">
            <x v="1"/>
          </reference>
        </references>
      </pivotArea>
    </format>
    <format dxfId="428">
      <pivotArea dataOnly="0" labelOnly="1" fieldPosition="0">
        <references count="2">
          <reference field="1" count="1" selected="0">
            <x v="638"/>
          </reference>
          <reference field="2" count="1">
            <x v="52"/>
          </reference>
        </references>
      </pivotArea>
    </format>
    <format dxfId="427">
      <pivotArea dataOnly="0" labelOnly="1" fieldPosition="0">
        <references count="2">
          <reference field="1" count="1" selected="0">
            <x v="639"/>
          </reference>
          <reference field="2" count="1">
            <x v="52"/>
          </reference>
        </references>
      </pivotArea>
    </format>
    <format dxfId="426">
      <pivotArea dataOnly="0" labelOnly="1" fieldPosition="0">
        <references count="2">
          <reference field="1" count="1" selected="0">
            <x v="640"/>
          </reference>
          <reference field="2" count="1">
            <x v="52"/>
          </reference>
        </references>
      </pivotArea>
    </format>
    <format dxfId="425">
      <pivotArea dataOnly="0" labelOnly="1" fieldPosition="0">
        <references count="2">
          <reference field="1" count="1" selected="0">
            <x v="641"/>
          </reference>
          <reference field="2" count="1">
            <x v="52"/>
          </reference>
        </references>
      </pivotArea>
    </format>
    <format dxfId="424">
      <pivotArea dataOnly="0" labelOnly="1" fieldPosition="0">
        <references count="2">
          <reference field="1" count="1" selected="0">
            <x v="642"/>
          </reference>
          <reference field="2" count="1">
            <x v="1"/>
          </reference>
        </references>
      </pivotArea>
    </format>
    <format dxfId="423">
      <pivotArea dataOnly="0" labelOnly="1" fieldPosition="0">
        <references count="2">
          <reference field="1" count="1" selected="0">
            <x v="643"/>
          </reference>
          <reference field="2" count="1">
            <x v="53"/>
          </reference>
        </references>
      </pivotArea>
    </format>
    <format dxfId="422">
      <pivotArea dataOnly="0" labelOnly="1" fieldPosition="0">
        <references count="2">
          <reference field="1" count="1" selected="0">
            <x v="644"/>
          </reference>
          <reference field="2" count="1">
            <x v="52"/>
          </reference>
        </references>
      </pivotArea>
    </format>
    <format dxfId="421">
      <pivotArea dataOnly="0" labelOnly="1" fieldPosition="0">
        <references count="2">
          <reference field="1" count="1" selected="0">
            <x v="645"/>
          </reference>
          <reference field="2" count="1">
            <x v="100"/>
          </reference>
        </references>
      </pivotArea>
    </format>
    <format dxfId="420">
      <pivotArea dataOnly="0" labelOnly="1" fieldPosition="0">
        <references count="2">
          <reference field="1" count="1" selected="0">
            <x v="646"/>
          </reference>
          <reference field="2" count="1">
            <x v="23"/>
          </reference>
        </references>
      </pivotArea>
    </format>
    <format dxfId="419">
      <pivotArea dataOnly="0" labelOnly="1" fieldPosition="0">
        <references count="2">
          <reference field="1" count="1" selected="0">
            <x v="647"/>
          </reference>
          <reference field="2" count="1">
            <x v="53"/>
          </reference>
        </references>
      </pivotArea>
    </format>
    <format dxfId="418">
      <pivotArea dataOnly="0" labelOnly="1" fieldPosition="0">
        <references count="2">
          <reference field="1" count="1" selected="0">
            <x v="648"/>
          </reference>
          <reference field="2" count="1">
            <x v="1"/>
          </reference>
        </references>
      </pivotArea>
    </format>
    <format dxfId="417">
      <pivotArea dataOnly="0" labelOnly="1" fieldPosition="0">
        <references count="2">
          <reference field="1" count="1" selected="0">
            <x v="649"/>
          </reference>
          <reference field="2" count="1">
            <x v="73"/>
          </reference>
        </references>
      </pivotArea>
    </format>
    <format dxfId="416">
      <pivotArea dataOnly="0" labelOnly="1" fieldPosition="0">
        <references count="2">
          <reference field="1" count="1" selected="0">
            <x v="650"/>
          </reference>
          <reference field="2" count="1">
            <x v="52"/>
          </reference>
        </references>
      </pivotArea>
    </format>
    <format dxfId="415">
      <pivotArea dataOnly="0" labelOnly="1" fieldPosition="0">
        <references count="2">
          <reference field="1" count="1" selected="0">
            <x v="651"/>
          </reference>
          <reference field="2" count="1">
            <x v="105"/>
          </reference>
        </references>
      </pivotArea>
    </format>
    <format dxfId="414">
      <pivotArea dataOnly="0" labelOnly="1" fieldPosition="0">
        <references count="2">
          <reference field="1" count="1" selected="0">
            <x v="652"/>
          </reference>
          <reference field="2" count="1">
            <x v="91"/>
          </reference>
        </references>
      </pivotArea>
    </format>
    <format dxfId="413">
      <pivotArea dataOnly="0" labelOnly="1" fieldPosition="0">
        <references count="2">
          <reference field="1" count="1" selected="0">
            <x v="653"/>
          </reference>
          <reference field="2" count="1">
            <x v="52"/>
          </reference>
        </references>
      </pivotArea>
    </format>
    <format dxfId="412">
      <pivotArea dataOnly="0" labelOnly="1" fieldPosition="0">
        <references count="2">
          <reference field="1" count="1" selected="0">
            <x v="654"/>
          </reference>
          <reference field="2" count="1">
            <x v="65"/>
          </reference>
        </references>
      </pivotArea>
    </format>
    <format dxfId="411">
      <pivotArea dataOnly="0" labelOnly="1" fieldPosition="0">
        <references count="2">
          <reference field="1" count="1" selected="0">
            <x v="655"/>
          </reference>
          <reference field="2" count="1">
            <x v="53"/>
          </reference>
        </references>
      </pivotArea>
    </format>
    <format dxfId="410">
      <pivotArea dataOnly="0" labelOnly="1" fieldPosition="0">
        <references count="2">
          <reference field="1" count="1" selected="0">
            <x v="656"/>
          </reference>
          <reference field="2" count="1">
            <x v="1"/>
          </reference>
        </references>
      </pivotArea>
    </format>
    <format dxfId="409">
      <pivotArea dataOnly="0" labelOnly="1" fieldPosition="0">
        <references count="2">
          <reference field="1" count="1" selected="0">
            <x v="657"/>
          </reference>
          <reference field="2" count="1">
            <x v="6"/>
          </reference>
        </references>
      </pivotArea>
    </format>
    <format dxfId="408">
      <pivotArea dataOnly="0" labelOnly="1" fieldPosition="0">
        <references count="2">
          <reference field="1" count="1" selected="0">
            <x v="658"/>
          </reference>
          <reference field="2" count="1">
            <x v="54"/>
          </reference>
        </references>
      </pivotArea>
    </format>
    <format dxfId="407">
      <pivotArea dataOnly="0" labelOnly="1" fieldPosition="0">
        <references count="2">
          <reference field="1" count="1" selected="0">
            <x v="659"/>
          </reference>
          <reference field="2" count="1">
            <x v="20"/>
          </reference>
        </references>
      </pivotArea>
    </format>
    <format dxfId="406">
      <pivotArea dataOnly="0" labelOnly="1" fieldPosition="0">
        <references count="2">
          <reference field="1" count="1" selected="0">
            <x v="660"/>
          </reference>
          <reference field="2" count="1">
            <x v="29"/>
          </reference>
        </references>
      </pivotArea>
    </format>
    <format dxfId="405">
      <pivotArea dataOnly="0" labelOnly="1" fieldPosition="0">
        <references count="2">
          <reference field="1" count="1" selected="0">
            <x v="661"/>
          </reference>
          <reference field="2" count="1">
            <x v="12"/>
          </reference>
        </references>
      </pivotArea>
    </format>
    <format dxfId="404">
      <pivotArea dataOnly="0" labelOnly="1" fieldPosition="0">
        <references count="2">
          <reference field="1" count="1" selected="0">
            <x v="662"/>
          </reference>
          <reference field="2" count="1">
            <x v="52"/>
          </reference>
        </references>
      </pivotArea>
    </format>
    <format dxfId="403">
      <pivotArea dataOnly="0" labelOnly="1" fieldPosition="0">
        <references count="2">
          <reference field="1" count="1" selected="0">
            <x v="663"/>
          </reference>
          <reference field="2" count="1">
            <x v="91"/>
          </reference>
        </references>
      </pivotArea>
    </format>
    <format dxfId="402">
      <pivotArea dataOnly="0" labelOnly="1" fieldPosition="0">
        <references count="2">
          <reference field="1" count="1" selected="0">
            <x v="664"/>
          </reference>
          <reference field="2" count="1">
            <x v="91"/>
          </reference>
        </references>
      </pivotArea>
    </format>
    <format dxfId="401">
      <pivotArea dataOnly="0" labelOnly="1" fieldPosition="0">
        <references count="2">
          <reference field="1" count="1" selected="0">
            <x v="665"/>
          </reference>
          <reference field="2" count="1">
            <x v="52"/>
          </reference>
        </references>
      </pivotArea>
    </format>
    <format dxfId="400">
      <pivotArea dataOnly="0" labelOnly="1" fieldPosition="0">
        <references count="2">
          <reference field="1" count="1" selected="0">
            <x v="666"/>
          </reference>
          <reference field="2" count="1">
            <x v="23"/>
          </reference>
        </references>
      </pivotArea>
    </format>
    <format dxfId="399">
      <pivotArea dataOnly="0" labelOnly="1" fieldPosition="0">
        <references count="2">
          <reference field="1" count="1" selected="0">
            <x v="667"/>
          </reference>
          <reference field="2" count="1">
            <x v="52"/>
          </reference>
        </references>
      </pivotArea>
    </format>
    <format dxfId="398">
      <pivotArea dataOnly="0" labelOnly="1" outline="0" fieldPosition="0">
        <references count="1">
          <reference field="4294967294" count="2">
            <x v="0"/>
            <x v="1"/>
          </reference>
        </references>
      </pivotArea>
    </format>
    <format dxfId="397">
      <pivotArea field="1" type="button" dataOnly="0" labelOnly="1" outline="0" axis="axisRow" fieldPosition="0"/>
    </format>
    <format dxfId="396">
      <pivotArea dataOnly="0" labelOnly="1" outline="0" fieldPosition="0">
        <references count="1">
          <reference field="4294967294" count="2">
            <x v="0"/>
            <x v="1"/>
          </reference>
        </references>
      </pivotArea>
    </format>
    <format dxfId="395">
      <pivotArea field="1" type="button" dataOnly="0" labelOnly="1" outline="0" axis="axisRow" fieldPosition="0"/>
    </format>
    <format dxfId="394">
      <pivotArea dataOnly="0" labelOnly="1" outline="0" fieldPosition="0">
        <references count="1">
          <reference field="4294967294" count="2">
            <x v="0"/>
            <x v="1"/>
          </reference>
        </references>
      </pivotArea>
    </format>
    <format dxfId="393">
      <pivotArea field="1" type="button" dataOnly="0" labelOnly="1" outline="0" axis="axisRow" fieldPosition="0"/>
    </format>
    <format dxfId="392">
      <pivotArea dataOnly="0" labelOnly="1" outline="0" fieldPosition="0">
        <references count="1">
          <reference field="4294967294" count="2">
            <x v="0"/>
            <x v="1"/>
          </reference>
        </references>
      </pivotArea>
    </format>
    <format dxfId="391">
      <pivotArea collapsedLevelsAreSubtotals="1" fieldPosition="0">
        <references count="1">
          <reference field="1" count="1">
            <x v="0"/>
          </reference>
        </references>
      </pivotArea>
    </format>
    <format dxfId="390">
      <pivotArea collapsedLevelsAreSubtotals="1" fieldPosition="0">
        <references count="2">
          <reference field="4294967294" count="1" selected="0">
            <x v="1"/>
          </reference>
          <reference field="1" count="1">
            <x v="0"/>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AFC24-16BF-474D-981E-E6F80DEE0A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ndidates">
  <location ref="A3:C672" firstHeaderRow="0" firstDataRow="1" firstDataCol="1" rowPageCount="1" colPageCount="1"/>
  <pivotFields count="8">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Page" multipleItemSelectionAllowed="1"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48"/>
        <item x="29"/>
        <item x="99"/>
        <item x="73"/>
        <item x="90"/>
        <item x="13"/>
        <item x="1"/>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showAll="0"/>
    <pivotField showAll="0"/>
    <pivotField dataField="1" showAll="0"/>
    <pivotField dataField="1"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count="1">
    <field x="1"/>
  </rowFields>
  <rowItems count="6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t="grand">
      <x/>
    </i>
  </rowItems>
  <colFields count="1">
    <field x="-2"/>
  </colFields>
  <colItems count="2">
    <i>
      <x/>
    </i>
    <i i="1">
      <x v="1"/>
    </i>
  </colItems>
  <pageFields count="1">
    <pageField fld="2" hier="-1"/>
  </pageFields>
  <dataFields count="2">
    <dataField name=" perecentage of Votes" fld="6" baseField="0" baseItem="0"/>
    <dataField name=" Total Votes" fld="5" baseField="0" baseItem="0"/>
  </dataFields>
  <formats count="73">
    <format dxfId="389">
      <pivotArea type="all" dataOnly="0" outline="0" fieldPosition="0"/>
    </format>
    <format dxfId="388">
      <pivotArea outline="0" collapsedLevelsAreSubtotals="1" fieldPosition="0"/>
    </format>
    <format dxfId="387">
      <pivotArea field="1" type="button" dataOnly="0" labelOnly="1" outline="0" axis="axisRow" fieldPosition="0"/>
    </format>
    <format dxfId="386">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85">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84">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83">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82">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81">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80">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79">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78">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77">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76">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75">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74">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73">
      <pivotArea dataOnly="0" labelOnly="1" fieldPosition="0">
        <references count="1">
          <reference field="1" count="18">
            <x v="650"/>
            <x v="651"/>
            <x v="652"/>
            <x v="653"/>
            <x v="654"/>
            <x v="655"/>
            <x v="656"/>
            <x v="657"/>
            <x v="658"/>
            <x v="659"/>
            <x v="660"/>
            <x v="661"/>
            <x v="662"/>
            <x v="663"/>
            <x v="664"/>
            <x v="665"/>
            <x v="666"/>
            <x v="667"/>
          </reference>
        </references>
      </pivotArea>
    </format>
    <format dxfId="372">
      <pivotArea dataOnly="0" labelOnly="1" grandRow="1" outline="0" fieldPosition="0"/>
    </format>
    <format dxfId="371">
      <pivotArea dataOnly="0" labelOnly="1" outline="0" fieldPosition="0">
        <references count="1">
          <reference field="4294967294" count="1">
            <x v="1"/>
          </reference>
        </references>
      </pivotArea>
    </format>
    <format dxfId="370">
      <pivotArea type="all" dataOnly="0" outline="0" fieldPosition="0"/>
    </format>
    <format dxfId="369">
      <pivotArea outline="0" collapsedLevelsAreSubtotals="1" fieldPosition="0"/>
    </format>
    <format dxfId="368">
      <pivotArea field="1" type="button" dataOnly="0" labelOnly="1" outline="0" axis="axisRow" fieldPosition="0"/>
    </format>
    <format dxfId="36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5">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64">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63">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62">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61">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60">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59">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58">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57">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56">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55">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54">
      <pivotArea dataOnly="0" labelOnly="1" fieldPosition="0">
        <references count="1">
          <reference field="1" count="18">
            <x v="650"/>
            <x v="651"/>
            <x v="652"/>
            <x v="653"/>
            <x v="654"/>
            <x v="655"/>
            <x v="656"/>
            <x v="657"/>
            <x v="658"/>
            <x v="659"/>
            <x v="660"/>
            <x v="661"/>
            <x v="662"/>
            <x v="663"/>
            <x v="664"/>
            <x v="665"/>
            <x v="666"/>
            <x v="667"/>
          </reference>
        </references>
      </pivotArea>
    </format>
    <format dxfId="353">
      <pivotArea dataOnly="0" labelOnly="1" grandRow="1" outline="0" fieldPosition="0"/>
    </format>
    <format dxfId="352">
      <pivotArea dataOnly="0" labelOnly="1" outline="0" fieldPosition="0">
        <references count="1">
          <reference field="4294967294" count="1">
            <x v="1"/>
          </reference>
        </references>
      </pivotArea>
    </format>
    <format dxfId="351">
      <pivotArea field="1" type="button" dataOnly="0" labelOnly="1" outline="0" axis="axisRow" fieldPosition="0"/>
    </format>
    <format dxfId="350">
      <pivotArea dataOnly="0" labelOnly="1" outline="0" fieldPosition="0">
        <references count="1">
          <reference field="4294967294" count="1">
            <x v="1"/>
          </reference>
        </references>
      </pivotArea>
    </format>
    <format dxfId="349">
      <pivotArea field="1" type="button" dataOnly="0" labelOnly="1" outline="0" axis="axisRow" fieldPosition="0"/>
    </format>
    <format dxfId="348">
      <pivotArea dataOnly="0" labelOnly="1" outline="0" fieldPosition="0">
        <references count="1">
          <reference field="4294967294" count="1">
            <x v="1"/>
          </reference>
        </references>
      </pivotArea>
    </format>
    <format dxfId="347">
      <pivotArea type="all" dataOnly="0" outline="0" fieldPosition="0"/>
    </format>
    <format dxfId="346">
      <pivotArea outline="0" collapsedLevelsAreSubtotals="1" fieldPosition="0"/>
    </format>
    <format dxfId="345">
      <pivotArea field="1" type="button" dataOnly="0" labelOnly="1" outline="0" axis="axisRow" fieldPosition="0"/>
    </format>
    <format dxfId="34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3">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2">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1">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0">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39">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38">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37">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36">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35">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34">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33">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32">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31">
      <pivotArea dataOnly="0" labelOnly="1" fieldPosition="0">
        <references count="1">
          <reference field="1" count="18">
            <x v="650"/>
            <x v="651"/>
            <x v="652"/>
            <x v="653"/>
            <x v="654"/>
            <x v="655"/>
            <x v="656"/>
            <x v="657"/>
            <x v="658"/>
            <x v="659"/>
            <x v="660"/>
            <x v="661"/>
            <x v="662"/>
            <x v="663"/>
            <x v="664"/>
            <x v="665"/>
            <x v="666"/>
            <x v="667"/>
          </reference>
        </references>
      </pivotArea>
    </format>
    <format dxfId="330">
      <pivotArea dataOnly="0" labelOnly="1" grandRow="1" outline="0" fieldPosition="0"/>
    </format>
    <format dxfId="329">
      <pivotArea dataOnly="0" labelOnly="1" outline="0" fieldPosition="0">
        <references count="1">
          <reference field="4294967294" count="1">
            <x v="1"/>
          </reference>
        </references>
      </pivotArea>
    </format>
    <format dxfId="328">
      <pivotArea field="1" type="button" dataOnly="0" labelOnly="1" outline="0" axis="axisRow" fieldPosition="0"/>
    </format>
    <format dxfId="327">
      <pivotArea dataOnly="0" labelOnly="1" outline="0" fieldPosition="0">
        <references count="1">
          <reference field="4294967294" count="2">
            <x v="0"/>
            <x v="1"/>
          </reference>
        </references>
      </pivotArea>
    </format>
    <format dxfId="326">
      <pivotArea field="1" type="button" dataOnly="0" labelOnly="1" outline="0" axis="axisRow" fieldPosition="0"/>
    </format>
    <format dxfId="325">
      <pivotArea dataOnly="0" labelOnly="1" outline="0" fieldPosition="0">
        <references count="1">
          <reference field="4294967294" count="2">
            <x v="0"/>
            <x v="1"/>
          </reference>
        </references>
      </pivotArea>
    </format>
    <format dxfId="324">
      <pivotArea dataOnly="0" labelOnly="1" outline="0" fieldPosition="0">
        <references count="1">
          <reference field="4294967294" count="1">
            <x v="0"/>
          </reference>
        </references>
      </pivotArea>
    </format>
    <format dxfId="323">
      <pivotArea dataOnly="0" labelOnly="1" outline="0" fieldPosition="0">
        <references count="1">
          <reference field="4294967294" count="1">
            <x v="0"/>
          </reference>
        </references>
      </pivotArea>
    </format>
    <format dxfId="322">
      <pivotArea field="2" type="button" dataOnly="0" labelOnly="1" outline="0" axis="axisPage" fieldPosition="0"/>
    </format>
    <format dxfId="321">
      <pivotArea field="2" type="button" dataOnly="0" labelOnly="1" outline="0" axis="axisPage" fieldPosition="0"/>
    </format>
    <format dxfId="320">
      <pivotArea dataOnly="0" labelOnly="1" outline="0" fieldPosition="0">
        <references count="1">
          <reference field="2" count="0"/>
        </references>
      </pivotArea>
    </format>
    <format dxfId="319">
      <pivotArea dataOnly="0" labelOnly="1" outline="0" fieldPosition="0">
        <references count="1">
          <reference field="2" count="0"/>
        </references>
      </pivotArea>
    </format>
    <format dxfId="318">
      <pivotArea field="1" type="button" dataOnly="0" labelOnly="1" outline="0" axis="axisRow" fieldPosition="0"/>
    </format>
    <format dxfId="317">
      <pivotArea dataOnly="0" labelOnly="1" outline="0" fieldPosition="0">
        <references count="1">
          <reference field="4294967294" count="2">
            <x v="0"/>
            <x v="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929E76-7E72-4DC8-81F6-3C7EE0FC75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of Candidates">
  <location ref="A3:D672" firstHeaderRow="0" firstDataRow="1" firstDataCol="1" rowPageCount="1" colPageCount="1"/>
  <pivotFields count="8">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Page"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48"/>
        <item x="29"/>
        <item x="99"/>
        <item x="73"/>
        <item x="90"/>
        <item x="13"/>
        <item x="1"/>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dataField="1" showAll="0"/>
    <pivotField dataField="1" showAll="0"/>
    <pivotField dataField="1" showAll="0"/>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count="1">
    <field x="1"/>
  </rowFields>
  <rowItems count="6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t="grand">
      <x/>
    </i>
  </rowItems>
  <colFields count="1">
    <field x="-2"/>
  </colFields>
  <colItems count="3">
    <i>
      <x/>
    </i>
    <i i="1">
      <x v="1"/>
    </i>
    <i i="2">
      <x v="2"/>
    </i>
  </colItems>
  <pageFields count="1">
    <pageField fld="2" hier="-1"/>
  </pageFields>
  <dataFields count="3">
    <dataField name=" EVM Votes" fld="3" baseField="0" baseItem="0"/>
    <dataField name=" Postal Votes" fld="4" baseField="0" baseItem="0"/>
    <dataField name=" Total Votes" fld="5" baseField="0" baseItem="0"/>
  </dataFields>
  <formats count="84">
    <format dxfId="313">
      <pivotArea type="all" dataOnly="0" outline="0" fieldPosition="0"/>
    </format>
    <format dxfId="312">
      <pivotArea outline="0" collapsedLevelsAreSubtotals="1" fieldPosition="0"/>
    </format>
    <format dxfId="311">
      <pivotArea field="1" type="button" dataOnly="0" labelOnly="1" outline="0" axis="axisRow" fieldPosition="0"/>
    </format>
    <format dxfId="31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9">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8">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07">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06">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05">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04">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03">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02">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01">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00">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99">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98">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7">
      <pivotArea dataOnly="0" labelOnly="1" fieldPosition="0">
        <references count="1">
          <reference field="1" count="18">
            <x v="650"/>
            <x v="651"/>
            <x v="652"/>
            <x v="653"/>
            <x v="654"/>
            <x v="655"/>
            <x v="656"/>
            <x v="657"/>
            <x v="658"/>
            <x v="659"/>
            <x v="660"/>
            <x v="661"/>
            <x v="662"/>
            <x v="663"/>
            <x v="664"/>
            <x v="665"/>
            <x v="666"/>
            <x v="667"/>
          </reference>
        </references>
      </pivotArea>
    </format>
    <format dxfId="296">
      <pivotArea dataOnly="0" labelOnly="1" grandRow="1" outline="0" fieldPosition="0"/>
    </format>
    <format dxfId="295">
      <pivotArea dataOnly="0" labelOnly="1" outline="0" fieldPosition="0">
        <references count="1">
          <reference field="4294967294" count="3">
            <x v="0"/>
            <x v="1"/>
            <x v="2"/>
          </reference>
        </references>
      </pivotArea>
    </format>
    <format dxfId="294">
      <pivotArea type="all" dataOnly="0" outline="0" fieldPosition="0"/>
    </format>
    <format dxfId="293">
      <pivotArea outline="0" collapsedLevelsAreSubtotals="1" fieldPosition="0"/>
    </format>
    <format dxfId="292">
      <pivotArea field="1" type="button" dataOnly="0" labelOnly="1" outline="0" axis="axisRow" fieldPosition="0"/>
    </format>
    <format dxfId="29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0">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89">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88">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87">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86">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85">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84">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83">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82">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81">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80">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79">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78">
      <pivotArea dataOnly="0" labelOnly="1" fieldPosition="0">
        <references count="1">
          <reference field="1" count="18">
            <x v="650"/>
            <x v="651"/>
            <x v="652"/>
            <x v="653"/>
            <x v="654"/>
            <x v="655"/>
            <x v="656"/>
            <x v="657"/>
            <x v="658"/>
            <x v="659"/>
            <x v="660"/>
            <x v="661"/>
            <x v="662"/>
            <x v="663"/>
            <x v="664"/>
            <x v="665"/>
            <x v="666"/>
            <x v="667"/>
          </reference>
        </references>
      </pivotArea>
    </format>
    <format dxfId="277">
      <pivotArea dataOnly="0" labelOnly="1" grandRow="1" outline="0" fieldPosition="0"/>
    </format>
    <format dxfId="276">
      <pivotArea dataOnly="0" labelOnly="1" outline="0" fieldPosition="0">
        <references count="1">
          <reference field="4294967294" count="3">
            <x v="0"/>
            <x v="1"/>
            <x v="2"/>
          </reference>
        </references>
      </pivotArea>
    </format>
    <format dxfId="275">
      <pivotArea type="all" dataOnly="0" outline="0" fieldPosition="0"/>
    </format>
    <format dxfId="274">
      <pivotArea outline="0" collapsedLevelsAreSubtotals="1" fieldPosition="0"/>
    </format>
    <format dxfId="273">
      <pivotArea field="1" type="button" dataOnly="0" labelOnly="1" outline="0" axis="axisRow" fieldPosition="0"/>
    </format>
    <format dxfId="272">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1">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0">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69">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68">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67">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66">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65">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64">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63">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62">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61">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60">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59">
      <pivotArea dataOnly="0" labelOnly="1" fieldPosition="0">
        <references count="1">
          <reference field="1" count="18">
            <x v="650"/>
            <x v="651"/>
            <x v="652"/>
            <x v="653"/>
            <x v="654"/>
            <x v="655"/>
            <x v="656"/>
            <x v="657"/>
            <x v="658"/>
            <x v="659"/>
            <x v="660"/>
            <x v="661"/>
            <x v="662"/>
            <x v="663"/>
            <x v="664"/>
            <x v="665"/>
            <x v="666"/>
            <x v="667"/>
          </reference>
        </references>
      </pivotArea>
    </format>
    <format dxfId="258">
      <pivotArea dataOnly="0" labelOnly="1" grandRow="1" outline="0" fieldPosition="0"/>
    </format>
    <format dxfId="257">
      <pivotArea dataOnly="0" labelOnly="1" outline="0" fieldPosition="0">
        <references count="1">
          <reference field="4294967294" count="3">
            <x v="0"/>
            <x v="1"/>
            <x v="2"/>
          </reference>
        </references>
      </pivotArea>
    </format>
    <format dxfId="256">
      <pivotArea type="all" dataOnly="0" outline="0" fieldPosition="0"/>
    </format>
    <format dxfId="255">
      <pivotArea outline="0" collapsedLevelsAreSubtotals="1" fieldPosition="0"/>
    </format>
    <format dxfId="254">
      <pivotArea field="1" type="button" dataOnly="0" labelOnly="1" outline="0" axis="axisRow" fieldPosition="0"/>
    </format>
    <format dxfId="25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2">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51">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50">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49">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48">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47">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46">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45">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44">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43">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42">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41">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40">
      <pivotArea dataOnly="0" labelOnly="1" fieldPosition="0">
        <references count="1">
          <reference field="1" count="18">
            <x v="650"/>
            <x v="651"/>
            <x v="652"/>
            <x v="653"/>
            <x v="654"/>
            <x v="655"/>
            <x v="656"/>
            <x v="657"/>
            <x v="658"/>
            <x v="659"/>
            <x v="660"/>
            <x v="661"/>
            <x v="662"/>
            <x v="663"/>
            <x v="664"/>
            <x v="665"/>
            <x v="666"/>
            <x v="667"/>
          </reference>
        </references>
      </pivotArea>
    </format>
    <format dxfId="239">
      <pivotArea dataOnly="0" labelOnly="1" grandRow="1" outline="0" fieldPosition="0"/>
    </format>
    <format dxfId="238">
      <pivotArea dataOnly="0" labelOnly="1" outline="0" fieldPosition="0">
        <references count="1">
          <reference field="4294967294" count="3">
            <x v="0"/>
            <x v="1"/>
            <x v="2"/>
          </reference>
        </references>
      </pivotArea>
    </format>
    <format dxfId="237">
      <pivotArea field="1" type="button" dataOnly="0" labelOnly="1" outline="0" axis="axisRow" fieldPosition="0"/>
    </format>
    <format dxfId="236">
      <pivotArea dataOnly="0" labelOnly="1" outline="0" fieldPosition="0">
        <references count="1">
          <reference field="4294967294" count="3">
            <x v="0"/>
            <x v="1"/>
            <x v="2"/>
          </reference>
        </references>
      </pivotArea>
    </format>
    <format dxfId="235">
      <pivotArea field="1" type="button" dataOnly="0" labelOnly="1" outline="0" axis="axisRow" fieldPosition="0"/>
    </format>
    <format dxfId="234">
      <pivotArea dataOnly="0" labelOnly="1" outline="0" fieldPosition="0">
        <references count="1">
          <reference field="4294967294" count="3">
            <x v="0"/>
            <x v="1"/>
            <x v="2"/>
          </reference>
        </references>
      </pivotArea>
    </format>
    <format dxfId="233">
      <pivotArea field="1" type="button" dataOnly="0" labelOnly="1" outline="0" axis="axisRow" fieldPosition="0"/>
    </format>
    <format dxfId="232">
      <pivotArea dataOnly="0" labelOnly="1" outline="0" fieldPosition="0">
        <references count="1">
          <reference field="4294967294" count="3">
            <x v="0"/>
            <x v="1"/>
            <x v="2"/>
          </reference>
        </references>
      </pivotArea>
    </format>
    <format dxfId="231">
      <pivotArea field="1" type="button" dataOnly="0" labelOnly="1" outline="0" axis="axisRow" fieldPosition="0"/>
    </format>
    <format dxfId="230">
      <pivotArea dataOnly="0" labelOnly="1" outline="0" fieldPosition="0">
        <references count="1">
          <reference field="4294967294" count="3">
            <x v="0"/>
            <x v="1"/>
            <x v="2"/>
          </reference>
        </references>
      </pivotArea>
    </format>
  </formats>
  <conditionalFormats count="1">
    <conditionalFormat type="all" priority="3">
      <pivotAreas count="1">
        <pivotArea type="data" collapsedLevelsAreSubtotals="1" fieldPosition="0">
          <references count="2">
            <reference field="4294967294" count="2" selected="0">
              <x v="0"/>
              <x v="1"/>
            </reference>
            <reference field="1" count="6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036E7D-61B6-46BA-8281-A7F94DB3D60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of Candidates">
  <location ref="A3:E142" firstHeaderRow="0" firstDataRow="1" firstDataCol="1"/>
  <pivotFields count="9">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showAll="0">
      <items count="2">
        <item x="0"/>
        <item t="default"/>
      </items>
    </pivotField>
    <pivotField showAll="0">
      <items count="6">
        <item x="3"/>
        <item x="0"/>
        <item x="1"/>
        <item x="2"/>
        <item x="4"/>
        <item t="default"/>
      </items>
    </pivotField>
    <pivotField axis="axisRow" showAll="0">
      <items count="70">
        <item x="4"/>
        <item x="20"/>
        <item x="56"/>
        <item x="64"/>
        <item x="52"/>
        <item x="8"/>
        <item x="42"/>
        <item x="59"/>
        <item x="28"/>
        <item x="17"/>
        <item x="49"/>
        <item x="47"/>
        <item x="63"/>
        <item x="58"/>
        <item x="46"/>
        <item x="7"/>
        <item x="43"/>
        <item x="65"/>
        <item x="23"/>
        <item x="21"/>
        <item x="27"/>
        <item x="62"/>
        <item x="34"/>
        <item x="24"/>
        <item x="68"/>
        <item x="14"/>
        <item x="44"/>
        <item x="54"/>
        <item x="35"/>
        <item x="5"/>
        <item x="25"/>
        <item x="10"/>
        <item x="67"/>
        <item x="9"/>
        <item x="33"/>
        <item x="40"/>
        <item x="57"/>
        <item x="29"/>
        <item x="31"/>
        <item x="38"/>
        <item x="30"/>
        <item x="16"/>
        <item x="45"/>
        <item x="19"/>
        <item x="0"/>
        <item x="3"/>
        <item x="11"/>
        <item x="51"/>
        <item x="53"/>
        <item x="6"/>
        <item x="55"/>
        <item x="13"/>
        <item x="50"/>
        <item x="32"/>
        <item x="60"/>
        <item x="1"/>
        <item x="41"/>
        <item x="48"/>
        <item x="26"/>
        <item x="18"/>
        <item x="66"/>
        <item x="2"/>
        <item x="39"/>
        <item x="15"/>
        <item x="37"/>
        <item x="61"/>
        <item x="12"/>
        <item x="36"/>
        <item x="22"/>
        <item t="default"/>
      </items>
    </pivotField>
    <pivotField axis="axisRow" showAll="0">
      <items count="3">
        <item x="1"/>
        <item x="0"/>
        <item t="default"/>
      </items>
    </pivotField>
    <pivotField dataField="1" showAll="0"/>
    <pivotField dataField="1" showAll="0"/>
    <pivotField dataField="1" showAll="0"/>
    <pivotField dataField="1" showAll="0"/>
  </pivotFields>
  <rowFields count="2">
    <field x="3"/>
    <field x="4"/>
  </rowFields>
  <rowItems count="139">
    <i>
      <x/>
    </i>
    <i r="1">
      <x v="1"/>
    </i>
    <i>
      <x v="1"/>
    </i>
    <i r="1">
      <x/>
    </i>
    <i>
      <x v="2"/>
    </i>
    <i r="1">
      <x v="1"/>
    </i>
    <i>
      <x v="3"/>
    </i>
    <i r="1">
      <x v="1"/>
    </i>
    <i>
      <x v="4"/>
    </i>
    <i r="1">
      <x/>
    </i>
    <i>
      <x v="5"/>
    </i>
    <i r="1">
      <x/>
    </i>
    <i>
      <x v="6"/>
    </i>
    <i r="1">
      <x v="1"/>
    </i>
    <i>
      <x v="7"/>
    </i>
    <i r="1">
      <x v="1"/>
    </i>
    <i>
      <x v="8"/>
    </i>
    <i r="1">
      <x v="1"/>
    </i>
    <i>
      <x v="9"/>
    </i>
    <i r="1">
      <x v="1"/>
    </i>
    <i>
      <x v="10"/>
    </i>
    <i r="1">
      <x/>
    </i>
    <i>
      <x v="11"/>
    </i>
    <i r="1">
      <x v="1"/>
    </i>
    <i>
      <x v="12"/>
    </i>
    <i r="1">
      <x/>
    </i>
    <i>
      <x v="13"/>
    </i>
    <i r="1">
      <x v="1"/>
    </i>
    <i>
      <x v="14"/>
    </i>
    <i r="1">
      <x/>
    </i>
    <i>
      <x v="15"/>
    </i>
    <i r="1">
      <x v="1"/>
    </i>
    <i>
      <x v="16"/>
    </i>
    <i r="1">
      <x v="1"/>
    </i>
    <i>
      <x v="17"/>
    </i>
    <i r="1">
      <x/>
    </i>
    <i>
      <x v="18"/>
    </i>
    <i r="1">
      <x v="1"/>
    </i>
    <i>
      <x v="19"/>
    </i>
    <i r="1">
      <x/>
    </i>
    <i>
      <x v="20"/>
    </i>
    <i r="1">
      <x/>
    </i>
    <i>
      <x v="21"/>
    </i>
    <i r="1">
      <x v="1"/>
    </i>
    <i>
      <x v="22"/>
    </i>
    <i r="1">
      <x v="1"/>
    </i>
    <i>
      <x v="23"/>
    </i>
    <i r="1">
      <x v="1"/>
    </i>
    <i>
      <x v="24"/>
    </i>
    <i r="1">
      <x v="1"/>
    </i>
    <i>
      <x v="25"/>
    </i>
    <i r="1">
      <x v="1"/>
    </i>
    <i>
      <x v="26"/>
    </i>
    <i r="1">
      <x v="1"/>
    </i>
    <i>
      <x v="27"/>
    </i>
    <i r="1">
      <x/>
    </i>
    <i>
      <x v="28"/>
    </i>
    <i r="1">
      <x v="1"/>
    </i>
    <i>
      <x v="29"/>
    </i>
    <i r="1">
      <x v="1"/>
    </i>
    <i>
      <x v="30"/>
    </i>
    <i r="1">
      <x v="1"/>
    </i>
    <i>
      <x v="31"/>
    </i>
    <i r="1">
      <x v="1"/>
    </i>
    <i>
      <x v="32"/>
    </i>
    <i r="1">
      <x v="1"/>
    </i>
    <i>
      <x v="33"/>
    </i>
    <i r="1">
      <x/>
    </i>
    <i>
      <x v="34"/>
    </i>
    <i r="1">
      <x v="1"/>
    </i>
    <i>
      <x v="35"/>
    </i>
    <i r="1">
      <x v="1"/>
    </i>
    <i>
      <x v="36"/>
    </i>
    <i r="1">
      <x v="1"/>
    </i>
    <i>
      <x v="37"/>
    </i>
    <i r="1">
      <x v="1"/>
    </i>
    <i>
      <x v="38"/>
    </i>
    <i r="1">
      <x v="1"/>
    </i>
    <i>
      <x v="39"/>
    </i>
    <i r="1">
      <x v="1"/>
    </i>
    <i>
      <x v="40"/>
    </i>
    <i r="1">
      <x v="1"/>
    </i>
    <i>
      <x v="41"/>
    </i>
    <i r="1">
      <x v="1"/>
    </i>
    <i>
      <x v="42"/>
    </i>
    <i r="1">
      <x/>
    </i>
    <i>
      <x v="43"/>
    </i>
    <i r="1">
      <x/>
    </i>
    <i>
      <x v="44"/>
    </i>
    <i r="1">
      <x v="1"/>
    </i>
    <i>
      <x v="45"/>
    </i>
    <i r="1">
      <x v="1"/>
    </i>
    <i>
      <x v="46"/>
    </i>
    <i r="1">
      <x v="1"/>
    </i>
    <i>
      <x v="47"/>
    </i>
    <i r="1">
      <x/>
    </i>
    <i>
      <x v="48"/>
    </i>
    <i r="1">
      <x v="1"/>
    </i>
    <i>
      <x v="49"/>
    </i>
    <i r="1">
      <x v="1"/>
    </i>
    <i>
      <x v="50"/>
    </i>
    <i r="1">
      <x v="1"/>
    </i>
    <i>
      <x v="51"/>
    </i>
    <i r="1">
      <x v="1"/>
    </i>
    <i>
      <x v="52"/>
    </i>
    <i r="1">
      <x/>
    </i>
    <i>
      <x v="53"/>
    </i>
    <i r="1">
      <x v="1"/>
    </i>
    <i>
      <x v="54"/>
    </i>
    <i r="1">
      <x v="1"/>
    </i>
    <i>
      <x v="55"/>
    </i>
    <i r="1">
      <x/>
    </i>
    <i>
      <x v="56"/>
    </i>
    <i r="1">
      <x v="1"/>
    </i>
    <i>
      <x v="57"/>
    </i>
    <i r="1">
      <x v="1"/>
    </i>
    <i>
      <x v="58"/>
    </i>
    <i r="1">
      <x v="1"/>
    </i>
    <i>
      <x v="59"/>
    </i>
    <i r="1">
      <x/>
    </i>
    <i>
      <x v="60"/>
    </i>
    <i r="1">
      <x/>
    </i>
    <i>
      <x v="61"/>
    </i>
    <i r="1">
      <x v="1"/>
    </i>
    <i>
      <x v="62"/>
    </i>
    <i r="1">
      <x v="1"/>
    </i>
    <i>
      <x v="63"/>
    </i>
    <i r="1">
      <x v="1"/>
    </i>
    <i>
      <x v="64"/>
    </i>
    <i r="1">
      <x v="1"/>
    </i>
    <i>
      <x v="65"/>
    </i>
    <i r="1">
      <x/>
    </i>
    <i>
      <x v="66"/>
    </i>
    <i r="1">
      <x v="1"/>
    </i>
    <i>
      <x v="67"/>
    </i>
    <i r="1">
      <x/>
    </i>
    <i>
      <x v="68"/>
    </i>
    <i r="1">
      <x/>
    </i>
    <i t="grand">
      <x/>
    </i>
  </rowItems>
  <colFields count="1">
    <field x="-2"/>
  </colFields>
  <colItems count="4">
    <i>
      <x/>
    </i>
    <i i="1">
      <x v="1"/>
    </i>
    <i i="2">
      <x v="2"/>
    </i>
    <i i="3">
      <x v="3"/>
    </i>
  </colItems>
  <dataFields count="4">
    <dataField name=" EVM Votes" fld="5" baseField="0" baseItem="0"/>
    <dataField name=" Postal Votes" fld="6" baseField="0" baseItem="0"/>
    <dataField name=" Total Votes" fld="7" baseField="0" baseItem="0"/>
    <dataField name=" perecentage of Votes" fld="8" baseField="0" baseItem="0"/>
  </dataFields>
  <formats count="230">
    <format dxfId="229">
      <pivotArea type="all" dataOnly="0" outline="0" fieldPosition="0"/>
    </format>
    <format dxfId="228">
      <pivotArea outline="0" collapsedLevelsAreSubtotals="1" fieldPosition="0"/>
    </format>
    <format dxfId="227">
      <pivotArea field="3" type="button" dataOnly="0" labelOnly="1" outline="0" axis="axisRow" fieldPosition="0"/>
    </format>
    <format dxfId="226">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5">
      <pivotArea dataOnly="0" labelOnly="1" fieldPosition="0">
        <references count="1">
          <reference field="3" count="19">
            <x v="50"/>
            <x v="51"/>
            <x v="52"/>
            <x v="53"/>
            <x v="54"/>
            <x v="55"/>
            <x v="56"/>
            <x v="57"/>
            <x v="58"/>
            <x v="59"/>
            <x v="60"/>
            <x v="61"/>
            <x v="62"/>
            <x v="63"/>
            <x v="64"/>
            <x v="65"/>
            <x v="66"/>
            <x v="67"/>
            <x v="68"/>
          </reference>
        </references>
      </pivotArea>
    </format>
    <format dxfId="224">
      <pivotArea dataOnly="0" labelOnly="1" grandRow="1" outline="0" fieldPosition="0"/>
    </format>
    <format dxfId="223">
      <pivotArea dataOnly="0" labelOnly="1" fieldPosition="0">
        <references count="2">
          <reference field="3" count="1" selected="0">
            <x v="0"/>
          </reference>
          <reference field="4" count="1">
            <x v="1"/>
          </reference>
        </references>
      </pivotArea>
    </format>
    <format dxfId="222">
      <pivotArea dataOnly="0" labelOnly="1" fieldPosition="0">
        <references count="2">
          <reference field="3" count="1" selected="0">
            <x v="1"/>
          </reference>
          <reference field="4" count="1">
            <x v="0"/>
          </reference>
        </references>
      </pivotArea>
    </format>
    <format dxfId="221">
      <pivotArea dataOnly="0" labelOnly="1" fieldPosition="0">
        <references count="2">
          <reference field="3" count="1" selected="0">
            <x v="2"/>
          </reference>
          <reference field="4" count="1">
            <x v="1"/>
          </reference>
        </references>
      </pivotArea>
    </format>
    <format dxfId="220">
      <pivotArea dataOnly="0" labelOnly="1" fieldPosition="0">
        <references count="2">
          <reference field="3" count="1" selected="0">
            <x v="3"/>
          </reference>
          <reference field="4" count="1">
            <x v="1"/>
          </reference>
        </references>
      </pivotArea>
    </format>
    <format dxfId="219">
      <pivotArea dataOnly="0" labelOnly="1" fieldPosition="0">
        <references count="2">
          <reference field="3" count="1" selected="0">
            <x v="4"/>
          </reference>
          <reference field="4" count="1">
            <x v="0"/>
          </reference>
        </references>
      </pivotArea>
    </format>
    <format dxfId="218">
      <pivotArea dataOnly="0" labelOnly="1" fieldPosition="0">
        <references count="2">
          <reference field="3" count="1" selected="0">
            <x v="5"/>
          </reference>
          <reference field="4" count="1">
            <x v="0"/>
          </reference>
        </references>
      </pivotArea>
    </format>
    <format dxfId="217">
      <pivotArea dataOnly="0" labelOnly="1" fieldPosition="0">
        <references count="2">
          <reference field="3" count="1" selected="0">
            <x v="6"/>
          </reference>
          <reference field="4" count="1">
            <x v="1"/>
          </reference>
        </references>
      </pivotArea>
    </format>
    <format dxfId="216">
      <pivotArea dataOnly="0" labelOnly="1" fieldPosition="0">
        <references count="2">
          <reference field="3" count="1" selected="0">
            <x v="7"/>
          </reference>
          <reference field="4" count="1">
            <x v="1"/>
          </reference>
        </references>
      </pivotArea>
    </format>
    <format dxfId="215">
      <pivotArea dataOnly="0" labelOnly="1" fieldPosition="0">
        <references count="2">
          <reference field="3" count="1" selected="0">
            <x v="8"/>
          </reference>
          <reference field="4" count="1">
            <x v="1"/>
          </reference>
        </references>
      </pivotArea>
    </format>
    <format dxfId="214">
      <pivotArea dataOnly="0" labelOnly="1" fieldPosition="0">
        <references count="2">
          <reference field="3" count="1" selected="0">
            <x v="9"/>
          </reference>
          <reference field="4" count="1">
            <x v="1"/>
          </reference>
        </references>
      </pivotArea>
    </format>
    <format dxfId="213">
      <pivotArea dataOnly="0" labelOnly="1" fieldPosition="0">
        <references count="2">
          <reference field="3" count="1" selected="0">
            <x v="10"/>
          </reference>
          <reference field="4" count="1">
            <x v="0"/>
          </reference>
        </references>
      </pivotArea>
    </format>
    <format dxfId="212">
      <pivotArea dataOnly="0" labelOnly="1" fieldPosition="0">
        <references count="2">
          <reference field="3" count="1" selected="0">
            <x v="11"/>
          </reference>
          <reference field="4" count="1">
            <x v="1"/>
          </reference>
        </references>
      </pivotArea>
    </format>
    <format dxfId="211">
      <pivotArea dataOnly="0" labelOnly="1" fieldPosition="0">
        <references count="2">
          <reference field="3" count="1" selected="0">
            <x v="12"/>
          </reference>
          <reference field="4" count="1">
            <x v="0"/>
          </reference>
        </references>
      </pivotArea>
    </format>
    <format dxfId="210">
      <pivotArea dataOnly="0" labelOnly="1" fieldPosition="0">
        <references count="2">
          <reference field="3" count="1" selected="0">
            <x v="13"/>
          </reference>
          <reference field="4" count="1">
            <x v="1"/>
          </reference>
        </references>
      </pivotArea>
    </format>
    <format dxfId="209">
      <pivotArea dataOnly="0" labelOnly="1" fieldPosition="0">
        <references count="2">
          <reference field="3" count="1" selected="0">
            <x v="14"/>
          </reference>
          <reference field="4" count="1">
            <x v="0"/>
          </reference>
        </references>
      </pivotArea>
    </format>
    <format dxfId="208">
      <pivotArea dataOnly="0" labelOnly="1" fieldPosition="0">
        <references count="2">
          <reference field="3" count="1" selected="0">
            <x v="15"/>
          </reference>
          <reference field="4" count="1">
            <x v="1"/>
          </reference>
        </references>
      </pivotArea>
    </format>
    <format dxfId="207">
      <pivotArea dataOnly="0" labelOnly="1" fieldPosition="0">
        <references count="2">
          <reference field="3" count="1" selected="0">
            <x v="16"/>
          </reference>
          <reference field="4" count="1">
            <x v="1"/>
          </reference>
        </references>
      </pivotArea>
    </format>
    <format dxfId="206">
      <pivotArea dataOnly="0" labelOnly="1" fieldPosition="0">
        <references count="2">
          <reference field="3" count="1" selected="0">
            <x v="17"/>
          </reference>
          <reference field="4" count="1">
            <x v="0"/>
          </reference>
        </references>
      </pivotArea>
    </format>
    <format dxfId="205">
      <pivotArea dataOnly="0" labelOnly="1" fieldPosition="0">
        <references count="2">
          <reference field="3" count="1" selected="0">
            <x v="18"/>
          </reference>
          <reference field="4" count="1">
            <x v="1"/>
          </reference>
        </references>
      </pivotArea>
    </format>
    <format dxfId="204">
      <pivotArea dataOnly="0" labelOnly="1" fieldPosition="0">
        <references count="2">
          <reference field="3" count="1" selected="0">
            <x v="19"/>
          </reference>
          <reference field="4" count="1">
            <x v="0"/>
          </reference>
        </references>
      </pivotArea>
    </format>
    <format dxfId="203">
      <pivotArea dataOnly="0" labelOnly="1" fieldPosition="0">
        <references count="2">
          <reference field="3" count="1" selected="0">
            <x v="20"/>
          </reference>
          <reference field="4" count="1">
            <x v="0"/>
          </reference>
        </references>
      </pivotArea>
    </format>
    <format dxfId="202">
      <pivotArea dataOnly="0" labelOnly="1" fieldPosition="0">
        <references count="2">
          <reference field="3" count="1" selected="0">
            <x v="21"/>
          </reference>
          <reference field="4" count="1">
            <x v="1"/>
          </reference>
        </references>
      </pivotArea>
    </format>
    <format dxfId="201">
      <pivotArea dataOnly="0" labelOnly="1" fieldPosition="0">
        <references count="2">
          <reference field="3" count="1" selected="0">
            <x v="22"/>
          </reference>
          <reference field="4" count="1">
            <x v="1"/>
          </reference>
        </references>
      </pivotArea>
    </format>
    <format dxfId="200">
      <pivotArea dataOnly="0" labelOnly="1" fieldPosition="0">
        <references count="2">
          <reference field="3" count="1" selected="0">
            <x v="23"/>
          </reference>
          <reference field="4" count="1">
            <x v="1"/>
          </reference>
        </references>
      </pivotArea>
    </format>
    <format dxfId="199">
      <pivotArea dataOnly="0" labelOnly="1" fieldPosition="0">
        <references count="2">
          <reference field="3" count="1" selected="0">
            <x v="24"/>
          </reference>
          <reference field="4" count="1">
            <x v="1"/>
          </reference>
        </references>
      </pivotArea>
    </format>
    <format dxfId="198">
      <pivotArea dataOnly="0" labelOnly="1" fieldPosition="0">
        <references count="2">
          <reference field="3" count="1" selected="0">
            <x v="25"/>
          </reference>
          <reference field="4" count="1">
            <x v="1"/>
          </reference>
        </references>
      </pivotArea>
    </format>
    <format dxfId="197">
      <pivotArea dataOnly="0" labelOnly="1" fieldPosition="0">
        <references count="2">
          <reference field="3" count="1" selected="0">
            <x v="26"/>
          </reference>
          <reference field="4" count="1">
            <x v="1"/>
          </reference>
        </references>
      </pivotArea>
    </format>
    <format dxfId="196">
      <pivotArea dataOnly="0" labelOnly="1" fieldPosition="0">
        <references count="2">
          <reference field="3" count="1" selected="0">
            <x v="27"/>
          </reference>
          <reference field="4" count="1">
            <x v="0"/>
          </reference>
        </references>
      </pivotArea>
    </format>
    <format dxfId="195">
      <pivotArea dataOnly="0" labelOnly="1" fieldPosition="0">
        <references count="2">
          <reference field="3" count="1" selected="0">
            <x v="28"/>
          </reference>
          <reference field="4" count="1">
            <x v="1"/>
          </reference>
        </references>
      </pivotArea>
    </format>
    <format dxfId="194">
      <pivotArea dataOnly="0" labelOnly="1" fieldPosition="0">
        <references count="2">
          <reference field="3" count="1" selected="0">
            <x v="29"/>
          </reference>
          <reference field="4" count="1">
            <x v="1"/>
          </reference>
        </references>
      </pivotArea>
    </format>
    <format dxfId="193">
      <pivotArea dataOnly="0" labelOnly="1" fieldPosition="0">
        <references count="2">
          <reference field="3" count="1" selected="0">
            <x v="30"/>
          </reference>
          <reference field="4" count="1">
            <x v="1"/>
          </reference>
        </references>
      </pivotArea>
    </format>
    <format dxfId="192">
      <pivotArea dataOnly="0" labelOnly="1" fieldPosition="0">
        <references count="2">
          <reference field="3" count="1" selected="0">
            <x v="31"/>
          </reference>
          <reference field="4" count="1">
            <x v="1"/>
          </reference>
        </references>
      </pivotArea>
    </format>
    <format dxfId="191">
      <pivotArea dataOnly="0" labelOnly="1" fieldPosition="0">
        <references count="2">
          <reference field="3" count="1" selected="0">
            <x v="32"/>
          </reference>
          <reference field="4" count="1">
            <x v="1"/>
          </reference>
        </references>
      </pivotArea>
    </format>
    <format dxfId="190">
      <pivotArea dataOnly="0" labelOnly="1" fieldPosition="0">
        <references count="2">
          <reference field="3" count="1" selected="0">
            <x v="33"/>
          </reference>
          <reference field="4" count="1">
            <x v="0"/>
          </reference>
        </references>
      </pivotArea>
    </format>
    <format dxfId="189">
      <pivotArea dataOnly="0" labelOnly="1" fieldPosition="0">
        <references count="2">
          <reference field="3" count="1" selected="0">
            <x v="34"/>
          </reference>
          <reference field="4" count="1">
            <x v="1"/>
          </reference>
        </references>
      </pivotArea>
    </format>
    <format dxfId="188">
      <pivotArea dataOnly="0" labelOnly="1" fieldPosition="0">
        <references count="2">
          <reference field="3" count="1" selected="0">
            <x v="35"/>
          </reference>
          <reference field="4" count="1">
            <x v="1"/>
          </reference>
        </references>
      </pivotArea>
    </format>
    <format dxfId="187">
      <pivotArea dataOnly="0" labelOnly="1" fieldPosition="0">
        <references count="2">
          <reference field="3" count="1" selected="0">
            <x v="36"/>
          </reference>
          <reference field="4" count="1">
            <x v="1"/>
          </reference>
        </references>
      </pivotArea>
    </format>
    <format dxfId="186">
      <pivotArea dataOnly="0" labelOnly="1" fieldPosition="0">
        <references count="2">
          <reference field="3" count="1" selected="0">
            <x v="37"/>
          </reference>
          <reference field="4" count="1">
            <x v="1"/>
          </reference>
        </references>
      </pivotArea>
    </format>
    <format dxfId="185">
      <pivotArea dataOnly="0" labelOnly="1" fieldPosition="0">
        <references count="2">
          <reference field="3" count="1" selected="0">
            <x v="38"/>
          </reference>
          <reference field="4" count="1">
            <x v="1"/>
          </reference>
        </references>
      </pivotArea>
    </format>
    <format dxfId="184">
      <pivotArea dataOnly="0" labelOnly="1" fieldPosition="0">
        <references count="2">
          <reference field="3" count="1" selected="0">
            <x v="39"/>
          </reference>
          <reference field="4" count="1">
            <x v="1"/>
          </reference>
        </references>
      </pivotArea>
    </format>
    <format dxfId="183">
      <pivotArea dataOnly="0" labelOnly="1" fieldPosition="0">
        <references count="2">
          <reference field="3" count="1" selected="0">
            <x v="40"/>
          </reference>
          <reference field="4" count="1">
            <x v="1"/>
          </reference>
        </references>
      </pivotArea>
    </format>
    <format dxfId="182">
      <pivotArea dataOnly="0" labelOnly="1" fieldPosition="0">
        <references count="2">
          <reference field="3" count="1" selected="0">
            <x v="41"/>
          </reference>
          <reference field="4" count="1">
            <x v="1"/>
          </reference>
        </references>
      </pivotArea>
    </format>
    <format dxfId="181">
      <pivotArea dataOnly="0" labelOnly="1" fieldPosition="0">
        <references count="2">
          <reference field="3" count="1" selected="0">
            <x v="42"/>
          </reference>
          <reference field="4" count="1">
            <x v="0"/>
          </reference>
        </references>
      </pivotArea>
    </format>
    <format dxfId="180">
      <pivotArea dataOnly="0" labelOnly="1" fieldPosition="0">
        <references count="2">
          <reference field="3" count="1" selected="0">
            <x v="43"/>
          </reference>
          <reference field="4" count="1">
            <x v="0"/>
          </reference>
        </references>
      </pivotArea>
    </format>
    <format dxfId="179">
      <pivotArea dataOnly="0" labelOnly="1" fieldPosition="0">
        <references count="2">
          <reference field="3" count="1" selected="0">
            <x v="44"/>
          </reference>
          <reference field="4" count="1">
            <x v="1"/>
          </reference>
        </references>
      </pivotArea>
    </format>
    <format dxfId="178">
      <pivotArea dataOnly="0" labelOnly="1" fieldPosition="0">
        <references count="2">
          <reference field="3" count="1" selected="0">
            <x v="45"/>
          </reference>
          <reference field="4" count="1">
            <x v="1"/>
          </reference>
        </references>
      </pivotArea>
    </format>
    <format dxfId="177">
      <pivotArea dataOnly="0" labelOnly="1" fieldPosition="0">
        <references count="2">
          <reference field="3" count="1" selected="0">
            <x v="46"/>
          </reference>
          <reference field="4" count="1">
            <x v="1"/>
          </reference>
        </references>
      </pivotArea>
    </format>
    <format dxfId="176">
      <pivotArea dataOnly="0" labelOnly="1" fieldPosition="0">
        <references count="2">
          <reference field="3" count="1" selected="0">
            <x v="47"/>
          </reference>
          <reference field="4" count="1">
            <x v="0"/>
          </reference>
        </references>
      </pivotArea>
    </format>
    <format dxfId="175">
      <pivotArea dataOnly="0" labelOnly="1" fieldPosition="0">
        <references count="2">
          <reference field="3" count="1" selected="0">
            <x v="48"/>
          </reference>
          <reference field="4" count="1">
            <x v="1"/>
          </reference>
        </references>
      </pivotArea>
    </format>
    <format dxfId="174">
      <pivotArea dataOnly="0" labelOnly="1" fieldPosition="0">
        <references count="2">
          <reference field="3" count="1" selected="0">
            <x v="49"/>
          </reference>
          <reference field="4" count="1">
            <x v="1"/>
          </reference>
        </references>
      </pivotArea>
    </format>
    <format dxfId="173">
      <pivotArea dataOnly="0" labelOnly="1" fieldPosition="0">
        <references count="2">
          <reference field="3" count="1" selected="0">
            <x v="50"/>
          </reference>
          <reference field="4" count="1">
            <x v="1"/>
          </reference>
        </references>
      </pivotArea>
    </format>
    <format dxfId="172">
      <pivotArea dataOnly="0" labelOnly="1" fieldPosition="0">
        <references count="2">
          <reference field="3" count="1" selected="0">
            <x v="51"/>
          </reference>
          <reference field="4" count="1">
            <x v="1"/>
          </reference>
        </references>
      </pivotArea>
    </format>
    <format dxfId="171">
      <pivotArea dataOnly="0" labelOnly="1" fieldPosition="0">
        <references count="2">
          <reference field="3" count="1" selected="0">
            <x v="52"/>
          </reference>
          <reference field="4" count="1">
            <x v="0"/>
          </reference>
        </references>
      </pivotArea>
    </format>
    <format dxfId="170">
      <pivotArea dataOnly="0" labelOnly="1" fieldPosition="0">
        <references count="2">
          <reference field="3" count="1" selected="0">
            <x v="53"/>
          </reference>
          <reference field="4" count="1">
            <x v="1"/>
          </reference>
        </references>
      </pivotArea>
    </format>
    <format dxfId="169">
      <pivotArea dataOnly="0" labelOnly="1" fieldPosition="0">
        <references count="2">
          <reference field="3" count="1" selected="0">
            <x v="54"/>
          </reference>
          <reference field="4" count="1">
            <x v="1"/>
          </reference>
        </references>
      </pivotArea>
    </format>
    <format dxfId="168">
      <pivotArea dataOnly="0" labelOnly="1" fieldPosition="0">
        <references count="2">
          <reference field="3" count="1" selected="0">
            <x v="55"/>
          </reference>
          <reference field="4" count="1">
            <x v="0"/>
          </reference>
        </references>
      </pivotArea>
    </format>
    <format dxfId="167">
      <pivotArea dataOnly="0" labelOnly="1" fieldPosition="0">
        <references count="2">
          <reference field="3" count="1" selected="0">
            <x v="56"/>
          </reference>
          <reference field="4" count="1">
            <x v="1"/>
          </reference>
        </references>
      </pivotArea>
    </format>
    <format dxfId="166">
      <pivotArea dataOnly="0" labelOnly="1" fieldPosition="0">
        <references count="2">
          <reference field="3" count="1" selected="0">
            <x v="57"/>
          </reference>
          <reference field="4" count="1">
            <x v="1"/>
          </reference>
        </references>
      </pivotArea>
    </format>
    <format dxfId="165">
      <pivotArea dataOnly="0" labelOnly="1" fieldPosition="0">
        <references count="2">
          <reference field="3" count="1" selected="0">
            <x v="58"/>
          </reference>
          <reference field="4" count="1">
            <x v="1"/>
          </reference>
        </references>
      </pivotArea>
    </format>
    <format dxfId="164">
      <pivotArea dataOnly="0" labelOnly="1" fieldPosition="0">
        <references count="2">
          <reference field="3" count="1" selected="0">
            <x v="59"/>
          </reference>
          <reference field="4" count="1">
            <x v="0"/>
          </reference>
        </references>
      </pivotArea>
    </format>
    <format dxfId="163">
      <pivotArea dataOnly="0" labelOnly="1" fieldPosition="0">
        <references count="2">
          <reference field="3" count="1" selected="0">
            <x v="60"/>
          </reference>
          <reference field="4" count="1">
            <x v="0"/>
          </reference>
        </references>
      </pivotArea>
    </format>
    <format dxfId="162">
      <pivotArea dataOnly="0" labelOnly="1" fieldPosition="0">
        <references count="2">
          <reference field="3" count="1" selected="0">
            <x v="61"/>
          </reference>
          <reference field="4" count="1">
            <x v="1"/>
          </reference>
        </references>
      </pivotArea>
    </format>
    <format dxfId="161">
      <pivotArea dataOnly="0" labelOnly="1" fieldPosition="0">
        <references count="2">
          <reference field="3" count="1" selected="0">
            <x v="62"/>
          </reference>
          <reference field="4" count="1">
            <x v="1"/>
          </reference>
        </references>
      </pivotArea>
    </format>
    <format dxfId="160">
      <pivotArea dataOnly="0" labelOnly="1" fieldPosition="0">
        <references count="2">
          <reference field="3" count="1" selected="0">
            <x v="63"/>
          </reference>
          <reference field="4" count="1">
            <x v="1"/>
          </reference>
        </references>
      </pivotArea>
    </format>
    <format dxfId="159">
      <pivotArea dataOnly="0" labelOnly="1" fieldPosition="0">
        <references count="2">
          <reference field="3" count="1" selected="0">
            <x v="64"/>
          </reference>
          <reference field="4" count="1">
            <x v="1"/>
          </reference>
        </references>
      </pivotArea>
    </format>
    <format dxfId="158">
      <pivotArea dataOnly="0" labelOnly="1" fieldPosition="0">
        <references count="2">
          <reference field="3" count="1" selected="0">
            <x v="65"/>
          </reference>
          <reference field="4" count="1">
            <x v="0"/>
          </reference>
        </references>
      </pivotArea>
    </format>
    <format dxfId="157">
      <pivotArea dataOnly="0" labelOnly="1" fieldPosition="0">
        <references count="2">
          <reference field="3" count="1" selected="0">
            <x v="66"/>
          </reference>
          <reference field="4" count="1">
            <x v="1"/>
          </reference>
        </references>
      </pivotArea>
    </format>
    <format dxfId="156">
      <pivotArea dataOnly="0" labelOnly="1" fieldPosition="0">
        <references count="2">
          <reference field="3" count="1" selected="0">
            <x v="67"/>
          </reference>
          <reference field="4" count="1">
            <x v="0"/>
          </reference>
        </references>
      </pivotArea>
    </format>
    <format dxfId="155">
      <pivotArea dataOnly="0" labelOnly="1" fieldPosition="0">
        <references count="2">
          <reference field="3" count="1" selected="0">
            <x v="68"/>
          </reference>
          <reference field="4" count="1">
            <x v="0"/>
          </reference>
        </references>
      </pivotArea>
    </format>
    <format dxfId="154">
      <pivotArea dataOnly="0" labelOnly="1" outline="0" fieldPosition="0">
        <references count="1">
          <reference field="4294967294" count="4">
            <x v="0"/>
            <x v="1"/>
            <x v="2"/>
            <x v="3"/>
          </reference>
        </references>
      </pivotArea>
    </format>
    <format dxfId="153">
      <pivotArea field="3" type="button" dataOnly="0" labelOnly="1" outline="0" axis="axisRow" fieldPosition="0"/>
    </format>
    <format dxfId="152">
      <pivotArea dataOnly="0" labelOnly="1" outline="0" fieldPosition="0">
        <references count="1">
          <reference field="4294967294" count="4">
            <x v="0"/>
            <x v="1"/>
            <x v="2"/>
            <x v="3"/>
          </reference>
        </references>
      </pivotArea>
    </format>
    <format dxfId="151">
      <pivotArea field="3" type="button" dataOnly="0" labelOnly="1" outline="0" axis="axisRow" fieldPosition="0"/>
    </format>
    <format dxfId="150">
      <pivotArea dataOnly="0" labelOnly="1" outline="0" fieldPosition="0">
        <references count="1">
          <reference field="4294967294" count="4">
            <x v="0"/>
            <x v="1"/>
            <x v="2"/>
            <x v="3"/>
          </reference>
        </references>
      </pivotArea>
    </format>
    <format dxfId="149">
      <pivotArea field="3" type="button" dataOnly="0" labelOnly="1" outline="0" axis="axisRow" fieldPosition="0"/>
    </format>
    <format dxfId="148">
      <pivotArea dataOnly="0" labelOnly="1" outline="0" fieldPosition="0">
        <references count="1">
          <reference field="4294967294" count="4">
            <x v="0"/>
            <x v="1"/>
            <x v="2"/>
            <x v="3"/>
          </reference>
        </references>
      </pivotArea>
    </format>
    <format dxfId="147">
      <pivotArea field="3" type="button" dataOnly="0" labelOnly="1" outline="0" axis="axisRow" fieldPosition="0"/>
    </format>
    <format dxfId="146">
      <pivotArea dataOnly="0" labelOnly="1" outline="0" fieldPosition="0">
        <references count="1">
          <reference field="4294967294" count="4">
            <x v="0"/>
            <x v="1"/>
            <x v="2"/>
            <x v="3"/>
          </reference>
        </references>
      </pivotArea>
    </format>
    <format dxfId="145">
      <pivotArea outline="0" collapsedLevelsAreSubtotals="1" fieldPosition="0"/>
    </format>
    <format dxfId="144">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3">
      <pivotArea dataOnly="0" labelOnly="1" fieldPosition="0">
        <references count="1">
          <reference field="3" count="19">
            <x v="50"/>
            <x v="51"/>
            <x v="52"/>
            <x v="53"/>
            <x v="54"/>
            <x v="55"/>
            <x v="56"/>
            <x v="57"/>
            <x v="58"/>
            <x v="59"/>
            <x v="60"/>
            <x v="61"/>
            <x v="62"/>
            <x v="63"/>
            <x v="64"/>
            <x v="65"/>
            <x v="66"/>
            <x v="67"/>
            <x v="68"/>
          </reference>
        </references>
      </pivotArea>
    </format>
    <format dxfId="142">
      <pivotArea dataOnly="0" labelOnly="1" grandRow="1" outline="0" fieldPosition="0"/>
    </format>
    <format dxfId="141">
      <pivotArea dataOnly="0" labelOnly="1" fieldPosition="0">
        <references count="2">
          <reference field="3" count="1" selected="0">
            <x v="0"/>
          </reference>
          <reference field="4" count="1">
            <x v="1"/>
          </reference>
        </references>
      </pivotArea>
    </format>
    <format dxfId="140">
      <pivotArea dataOnly="0" labelOnly="1" fieldPosition="0">
        <references count="2">
          <reference field="3" count="1" selected="0">
            <x v="1"/>
          </reference>
          <reference field="4" count="1">
            <x v="0"/>
          </reference>
        </references>
      </pivotArea>
    </format>
    <format dxfId="139">
      <pivotArea dataOnly="0" labelOnly="1" fieldPosition="0">
        <references count="2">
          <reference field="3" count="1" selected="0">
            <x v="2"/>
          </reference>
          <reference field="4" count="1">
            <x v="1"/>
          </reference>
        </references>
      </pivotArea>
    </format>
    <format dxfId="138">
      <pivotArea dataOnly="0" labelOnly="1" fieldPosition="0">
        <references count="2">
          <reference field="3" count="1" selected="0">
            <x v="3"/>
          </reference>
          <reference field="4" count="1">
            <x v="1"/>
          </reference>
        </references>
      </pivotArea>
    </format>
    <format dxfId="137">
      <pivotArea dataOnly="0" labelOnly="1" fieldPosition="0">
        <references count="2">
          <reference field="3" count="1" selected="0">
            <x v="4"/>
          </reference>
          <reference field="4" count="1">
            <x v="0"/>
          </reference>
        </references>
      </pivotArea>
    </format>
    <format dxfId="136">
      <pivotArea dataOnly="0" labelOnly="1" fieldPosition="0">
        <references count="2">
          <reference field="3" count="1" selected="0">
            <x v="5"/>
          </reference>
          <reference field="4" count="1">
            <x v="0"/>
          </reference>
        </references>
      </pivotArea>
    </format>
    <format dxfId="135">
      <pivotArea dataOnly="0" labelOnly="1" fieldPosition="0">
        <references count="2">
          <reference field="3" count="1" selected="0">
            <x v="6"/>
          </reference>
          <reference field="4" count="1">
            <x v="1"/>
          </reference>
        </references>
      </pivotArea>
    </format>
    <format dxfId="134">
      <pivotArea dataOnly="0" labelOnly="1" fieldPosition="0">
        <references count="2">
          <reference field="3" count="1" selected="0">
            <x v="7"/>
          </reference>
          <reference field="4" count="1">
            <x v="1"/>
          </reference>
        </references>
      </pivotArea>
    </format>
    <format dxfId="133">
      <pivotArea dataOnly="0" labelOnly="1" fieldPosition="0">
        <references count="2">
          <reference field="3" count="1" selected="0">
            <x v="8"/>
          </reference>
          <reference field="4" count="1">
            <x v="1"/>
          </reference>
        </references>
      </pivotArea>
    </format>
    <format dxfId="132">
      <pivotArea dataOnly="0" labelOnly="1" fieldPosition="0">
        <references count="2">
          <reference field="3" count="1" selected="0">
            <x v="9"/>
          </reference>
          <reference field="4" count="1">
            <x v="1"/>
          </reference>
        </references>
      </pivotArea>
    </format>
    <format dxfId="131">
      <pivotArea dataOnly="0" labelOnly="1" fieldPosition="0">
        <references count="2">
          <reference field="3" count="1" selected="0">
            <x v="10"/>
          </reference>
          <reference field="4" count="1">
            <x v="0"/>
          </reference>
        </references>
      </pivotArea>
    </format>
    <format dxfId="130">
      <pivotArea dataOnly="0" labelOnly="1" fieldPosition="0">
        <references count="2">
          <reference field="3" count="1" selected="0">
            <x v="11"/>
          </reference>
          <reference field="4" count="1">
            <x v="1"/>
          </reference>
        </references>
      </pivotArea>
    </format>
    <format dxfId="129">
      <pivotArea dataOnly="0" labelOnly="1" fieldPosition="0">
        <references count="2">
          <reference field="3" count="1" selected="0">
            <x v="12"/>
          </reference>
          <reference field="4" count="1">
            <x v="0"/>
          </reference>
        </references>
      </pivotArea>
    </format>
    <format dxfId="128">
      <pivotArea dataOnly="0" labelOnly="1" fieldPosition="0">
        <references count="2">
          <reference field="3" count="1" selected="0">
            <x v="13"/>
          </reference>
          <reference field="4" count="1">
            <x v="1"/>
          </reference>
        </references>
      </pivotArea>
    </format>
    <format dxfId="127">
      <pivotArea dataOnly="0" labelOnly="1" fieldPosition="0">
        <references count="2">
          <reference field="3" count="1" selected="0">
            <x v="14"/>
          </reference>
          <reference field="4" count="1">
            <x v="0"/>
          </reference>
        </references>
      </pivotArea>
    </format>
    <format dxfId="126">
      <pivotArea dataOnly="0" labelOnly="1" fieldPosition="0">
        <references count="2">
          <reference field="3" count="1" selected="0">
            <x v="15"/>
          </reference>
          <reference field="4" count="1">
            <x v="1"/>
          </reference>
        </references>
      </pivotArea>
    </format>
    <format dxfId="125">
      <pivotArea dataOnly="0" labelOnly="1" fieldPosition="0">
        <references count="2">
          <reference field="3" count="1" selected="0">
            <x v="16"/>
          </reference>
          <reference field="4" count="1">
            <x v="1"/>
          </reference>
        </references>
      </pivotArea>
    </format>
    <format dxfId="124">
      <pivotArea dataOnly="0" labelOnly="1" fieldPosition="0">
        <references count="2">
          <reference field="3" count="1" selected="0">
            <x v="17"/>
          </reference>
          <reference field="4" count="1">
            <x v="0"/>
          </reference>
        </references>
      </pivotArea>
    </format>
    <format dxfId="123">
      <pivotArea dataOnly="0" labelOnly="1" fieldPosition="0">
        <references count="2">
          <reference field="3" count="1" selected="0">
            <x v="18"/>
          </reference>
          <reference field="4" count="1">
            <x v="1"/>
          </reference>
        </references>
      </pivotArea>
    </format>
    <format dxfId="122">
      <pivotArea dataOnly="0" labelOnly="1" fieldPosition="0">
        <references count="2">
          <reference field="3" count="1" selected="0">
            <x v="19"/>
          </reference>
          <reference field="4" count="1">
            <x v="0"/>
          </reference>
        </references>
      </pivotArea>
    </format>
    <format dxfId="121">
      <pivotArea dataOnly="0" labelOnly="1" fieldPosition="0">
        <references count="2">
          <reference field="3" count="1" selected="0">
            <x v="20"/>
          </reference>
          <reference field="4" count="1">
            <x v="0"/>
          </reference>
        </references>
      </pivotArea>
    </format>
    <format dxfId="120">
      <pivotArea dataOnly="0" labelOnly="1" fieldPosition="0">
        <references count="2">
          <reference field="3" count="1" selected="0">
            <x v="21"/>
          </reference>
          <reference field="4" count="1">
            <x v="1"/>
          </reference>
        </references>
      </pivotArea>
    </format>
    <format dxfId="119">
      <pivotArea dataOnly="0" labelOnly="1" fieldPosition="0">
        <references count="2">
          <reference field="3" count="1" selected="0">
            <x v="22"/>
          </reference>
          <reference field="4" count="1">
            <x v="1"/>
          </reference>
        </references>
      </pivotArea>
    </format>
    <format dxfId="118">
      <pivotArea dataOnly="0" labelOnly="1" fieldPosition="0">
        <references count="2">
          <reference field="3" count="1" selected="0">
            <x v="23"/>
          </reference>
          <reference field="4" count="1">
            <x v="1"/>
          </reference>
        </references>
      </pivotArea>
    </format>
    <format dxfId="117">
      <pivotArea dataOnly="0" labelOnly="1" fieldPosition="0">
        <references count="2">
          <reference field="3" count="1" selected="0">
            <x v="24"/>
          </reference>
          <reference field="4" count="1">
            <x v="1"/>
          </reference>
        </references>
      </pivotArea>
    </format>
    <format dxfId="116">
      <pivotArea dataOnly="0" labelOnly="1" fieldPosition="0">
        <references count="2">
          <reference field="3" count="1" selected="0">
            <x v="25"/>
          </reference>
          <reference field="4" count="1">
            <x v="1"/>
          </reference>
        </references>
      </pivotArea>
    </format>
    <format dxfId="115">
      <pivotArea dataOnly="0" labelOnly="1" fieldPosition="0">
        <references count="2">
          <reference field="3" count="1" selected="0">
            <x v="26"/>
          </reference>
          <reference field="4" count="1">
            <x v="1"/>
          </reference>
        </references>
      </pivotArea>
    </format>
    <format dxfId="114">
      <pivotArea dataOnly="0" labelOnly="1" fieldPosition="0">
        <references count="2">
          <reference field="3" count="1" selected="0">
            <x v="27"/>
          </reference>
          <reference field="4" count="1">
            <x v="0"/>
          </reference>
        </references>
      </pivotArea>
    </format>
    <format dxfId="113">
      <pivotArea dataOnly="0" labelOnly="1" fieldPosition="0">
        <references count="2">
          <reference field="3" count="1" selected="0">
            <x v="28"/>
          </reference>
          <reference field="4" count="1">
            <x v="1"/>
          </reference>
        </references>
      </pivotArea>
    </format>
    <format dxfId="112">
      <pivotArea dataOnly="0" labelOnly="1" fieldPosition="0">
        <references count="2">
          <reference field="3" count="1" selected="0">
            <x v="29"/>
          </reference>
          <reference field="4" count="1">
            <x v="1"/>
          </reference>
        </references>
      </pivotArea>
    </format>
    <format dxfId="111">
      <pivotArea dataOnly="0" labelOnly="1" fieldPosition="0">
        <references count="2">
          <reference field="3" count="1" selected="0">
            <x v="30"/>
          </reference>
          <reference field="4" count="1">
            <x v="1"/>
          </reference>
        </references>
      </pivotArea>
    </format>
    <format dxfId="110">
      <pivotArea dataOnly="0" labelOnly="1" fieldPosition="0">
        <references count="2">
          <reference field="3" count="1" selected="0">
            <x v="31"/>
          </reference>
          <reference field="4" count="1">
            <x v="1"/>
          </reference>
        </references>
      </pivotArea>
    </format>
    <format dxfId="109">
      <pivotArea dataOnly="0" labelOnly="1" fieldPosition="0">
        <references count="2">
          <reference field="3" count="1" selected="0">
            <x v="32"/>
          </reference>
          <reference field="4" count="1">
            <x v="1"/>
          </reference>
        </references>
      </pivotArea>
    </format>
    <format dxfId="108">
      <pivotArea dataOnly="0" labelOnly="1" fieldPosition="0">
        <references count="2">
          <reference field="3" count="1" selected="0">
            <x v="33"/>
          </reference>
          <reference field="4" count="1">
            <x v="0"/>
          </reference>
        </references>
      </pivotArea>
    </format>
    <format dxfId="107">
      <pivotArea dataOnly="0" labelOnly="1" fieldPosition="0">
        <references count="2">
          <reference field="3" count="1" selected="0">
            <x v="34"/>
          </reference>
          <reference field="4" count="1">
            <x v="1"/>
          </reference>
        </references>
      </pivotArea>
    </format>
    <format dxfId="106">
      <pivotArea dataOnly="0" labelOnly="1" fieldPosition="0">
        <references count="2">
          <reference field="3" count="1" selected="0">
            <x v="35"/>
          </reference>
          <reference field="4" count="1">
            <x v="1"/>
          </reference>
        </references>
      </pivotArea>
    </format>
    <format dxfId="105">
      <pivotArea dataOnly="0" labelOnly="1" fieldPosition="0">
        <references count="2">
          <reference field="3" count="1" selected="0">
            <x v="36"/>
          </reference>
          <reference field="4" count="1">
            <x v="1"/>
          </reference>
        </references>
      </pivotArea>
    </format>
    <format dxfId="104">
      <pivotArea dataOnly="0" labelOnly="1" fieldPosition="0">
        <references count="2">
          <reference field="3" count="1" selected="0">
            <x v="37"/>
          </reference>
          <reference field="4" count="1">
            <x v="1"/>
          </reference>
        </references>
      </pivotArea>
    </format>
    <format dxfId="103">
      <pivotArea dataOnly="0" labelOnly="1" fieldPosition="0">
        <references count="2">
          <reference field="3" count="1" selected="0">
            <x v="38"/>
          </reference>
          <reference field="4" count="1">
            <x v="1"/>
          </reference>
        </references>
      </pivotArea>
    </format>
    <format dxfId="102">
      <pivotArea dataOnly="0" labelOnly="1" fieldPosition="0">
        <references count="2">
          <reference field="3" count="1" selected="0">
            <x v="39"/>
          </reference>
          <reference field="4" count="1">
            <x v="1"/>
          </reference>
        </references>
      </pivotArea>
    </format>
    <format dxfId="101">
      <pivotArea dataOnly="0" labelOnly="1" fieldPosition="0">
        <references count="2">
          <reference field="3" count="1" selected="0">
            <x v="40"/>
          </reference>
          <reference field="4" count="1">
            <x v="1"/>
          </reference>
        </references>
      </pivotArea>
    </format>
    <format dxfId="100">
      <pivotArea dataOnly="0" labelOnly="1" fieldPosition="0">
        <references count="2">
          <reference field="3" count="1" selected="0">
            <x v="41"/>
          </reference>
          <reference field="4" count="1">
            <x v="1"/>
          </reference>
        </references>
      </pivotArea>
    </format>
    <format dxfId="99">
      <pivotArea dataOnly="0" labelOnly="1" fieldPosition="0">
        <references count="2">
          <reference field="3" count="1" selected="0">
            <x v="42"/>
          </reference>
          <reference field="4" count="1">
            <x v="0"/>
          </reference>
        </references>
      </pivotArea>
    </format>
    <format dxfId="98">
      <pivotArea dataOnly="0" labelOnly="1" fieldPosition="0">
        <references count="2">
          <reference field="3" count="1" selected="0">
            <x v="43"/>
          </reference>
          <reference field="4" count="1">
            <x v="0"/>
          </reference>
        </references>
      </pivotArea>
    </format>
    <format dxfId="97">
      <pivotArea dataOnly="0" labelOnly="1" fieldPosition="0">
        <references count="2">
          <reference field="3" count="1" selected="0">
            <x v="44"/>
          </reference>
          <reference field="4" count="1">
            <x v="1"/>
          </reference>
        </references>
      </pivotArea>
    </format>
    <format dxfId="96">
      <pivotArea dataOnly="0" labelOnly="1" fieldPosition="0">
        <references count="2">
          <reference field="3" count="1" selected="0">
            <x v="45"/>
          </reference>
          <reference field="4" count="1">
            <x v="1"/>
          </reference>
        </references>
      </pivotArea>
    </format>
    <format dxfId="95">
      <pivotArea dataOnly="0" labelOnly="1" fieldPosition="0">
        <references count="2">
          <reference field="3" count="1" selected="0">
            <x v="46"/>
          </reference>
          <reference field="4" count="1">
            <x v="1"/>
          </reference>
        </references>
      </pivotArea>
    </format>
    <format dxfId="94">
      <pivotArea dataOnly="0" labelOnly="1" fieldPosition="0">
        <references count="2">
          <reference field="3" count="1" selected="0">
            <x v="47"/>
          </reference>
          <reference field="4" count="1">
            <x v="0"/>
          </reference>
        </references>
      </pivotArea>
    </format>
    <format dxfId="93">
      <pivotArea dataOnly="0" labelOnly="1" fieldPosition="0">
        <references count="2">
          <reference field="3" count="1" selected="0">
            <x v="48"/>
          </reference>
          <reference field="4" count="1">
            <x v="1"/>
          </reference>
        </references>
      </pivotArea>
    </format>
    <format dxfId="92">
      <pivotArea dataOnly="0" labelOnly="1" fieldPosition="0">
        <references count="2">
          <reference field="3" count="1" selected="0">
            <x v="49"/>
          </reference>
          <reference field="4" count="1">
            <x v="1"/>
          </reference>
        </references>
      </pivotArea>
    </format>
    <format dxfId="91">
      <pivotArea dataOnly="0" labelOnly="1" fieldPosition="0">
        <references count="2">
          <reference field="3" count="1" selected="0">
            <x v="50"/>
          </reference>
          <reference field="4" count="1">
            <x v="1"/>
          </reference>
        </references>
      </pivotArea>
    </format>
    <format dxfId="90">
      <pivotArea dataOnly="0" labelOnly="1" fieldPosition="0">
        <references count="2">
          <reference field="3" count="1" selected="0">
            <x v="51"/>
          </reference>
          <reference field="4" count="1">
            <x v="1"/>
          </reference>
        </references>
      </pivotArea>
    </format>
    <format dxfId="89">
      <pivotArea dataOnly="0" labelOnly="1" fieldPosition="0">
        <references count="2">
          <reference field="3" count="1" selected="0">
            <x v="52"/>
          </reference>
          <reference field="4" count="1">
            <x v="0"/>
          </reference>
        </references>
      </pivotArea>
    </format>
    <format dxfId="88">
      <pivotArea dataOnly="0" labelOnly="1" fieldPosition="0">
        <references count="2">
          <reference field="3" count="1" selected="0">
            <x v="53"/>
          </reference>
          <reference field="4" count="1">
            <x v="1"/>
          </reference>
        </references>
      </pivotArea>
    </format>
    <format dxfId="87">
      <pivotArea dataOnly="0" labelOnly="1" fieldPosition="0">
        <references count="2">
          <reference field="3" count="1" selected="0">
            <x v="54"/>
          </reference>
          <reference field="4" count="1">
            <x v="1"/>
          </reference>
        </references>
      </pivotArea>
    </format>
    <format dxfId="86">
      <pivotArea dataOnly="0" labelOnly="1" fieldPosition="0">
        <references count="2">
          <reference field="3" count="1" selected="0">
            <x v="55"/>
          </reference>
          <reference field="4" count="1">
            <x v="0"/>
          </reference>
        </references>
      </pivotArea>
    </format>
    <format dxfId="85">
      <pivotArea dataOnly="0" labelOnly="1" fieldPosition="0">
        <references count="2">
          <reference field="3" count="1" selected="0">
            <x v="56"/>
          </reference>
          <reference field="4" count="1">
            <x v="1"/>
          </reference>
        </references>
      </pivotArea>
    </format>
    <format dxfId="84">
      <pivotArea dataOnly="0" labelOnly="1" fieldPosition="0">
        <references count="2">
          <reference field="3" count="1" selected="0">
            <x v="57"/>
          </reference>
          <reference field="4" count="1">
            <x v="1"/>
          </reference>
        </references>
      </pivotArea>
    </format>
    <format dxfId="83">
      <pivotArea dataOnly="0" labelOnly="1" fieldPosition="0">
        <references count="2">
          <reference field="3" count="1" selected="0">
            <x v="58"/>
          </reference>
          <reference field="4" count="1">
            <x v="1"/>
          </reference>
        </references>
      </pivotArea>
    </format>
    <format dxfId="82">
      <pivotArea dataOnly="0" labelOnly="1" fieldPosition="0">
        <references count="2">
          <reference field="3" count="1" selected="0">
            <x v="59"/>
          </reference>
          <reference field="4" count="1">
            <x v="0"/>
          </reference>
        </references>
      </pivotArea>
    </format>
    <format dxfId="81">
      <pivotArea dataOnly="0" labelOnly="1" fieldPosition="0">
        <references count="2">
          <reference field="3" count="1" selected="0">
            <x v="60"/>
          </reference>
          <reference field="4" count="1">
            <x v="0"/>
          </reference>
        </references>
      </pivotArea>
    </format>
    <format dxfId="80">
      <pivotArea dataOnly="0" labelOnly="1" fieldPosition="0">
        <references count="2">
          <reference field="3" count="1" selected="0">
            <x v="61"/>
          </reference>
          <reference field="4" count="1">
            <x v="1"/>
          </reference>
        </references>
      </pivotArea>
    </format>
    <format dxfId="79">
      <pivotArea dataOnly="0" labelOnly="1" fieldPosition="0">
        <references count="2">
          <reference field="3" count="1" selected="0">
            <x v="62"/>
          </reference>
          <reference field="4" count="1">
            <x v="1"/>
          </reference>
        </references>
      </pivotArea>
    </format>
    <format dxfId="78">
      <pivotArea dataOnly="0" labelOnly="1" fieldPosition="0">
        <references count="2">
          <reference field="3" count="1" selected="0">
            <x v="63"/>
          </reference>
          <reference field="4" count="1">
            <x v="1"/>
          </reference>
        </references>
      </pivotArea>
    </format>
    <format dxfId="77">
      <pivotArea dataOnly="0" labelOnly="1" fieldPosition="0">
        <references count="2">
          <reference field="3" count="1" selected="0">
            <x v="64"/>
          </reference>
          <reference field="4" count="1">
            <x v="1"/>
          </reference>
        </references>
      </pivotArea>
    </format>
    <format dxfId="76">
      <pivotArea dataOnly="0" labelOnly="1" fieldPosition="0">
        <references count="2">
          <reference field="3" count="1" selected="0">
            <x v="65"/>
          </reference>
          <reference field="4" count="1">
            <x v="0"/>
          </reference>
        </references>
      </pivotArea>
    </format>
    <format dxfId="75">
      <pivotArea dataOnly="0" labelOnly="1" fieldPosition="0">
        <references count="2">
          <reference field="3" count="1" selected="0">
            <x v="66"/>
          </reference>
          <reference field="4" count="1">
            <x v="1"/>
          </reference>
        </references>
      </pivotArea>
    </format>
    <format dxfId="74">
      <pivotArea dataOnly="0" labelOnly="1" fieldPosition="0">
        <references count="2">
          <reference field="3" count="1" selected="0">
            <x v="67"/>
          </reference>
          <reference field="4" count="1">
            <x v="0"/>
          </reference>
        </references>
      </pivotArea>
    </format>
    <format dxfId="73">
      <pivotArea dataOnly="0" labelOnly="1" fieldPosition="0">
        <references count="2">
          <reference field="3" count="1" selected="0">
            <x v="68"/>
          </reference>
          <reference field="4" count="1">
            <x v="0"/>
          </reference>
        </references>
      </pivotArea>
    </format>
    <format dxfId="72">
      <pivotArea outline="0" collapsedLevelsAreSubtotals="1" fieldPosition="0"/>
    </format>
    <format dxfId="71">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0">
      <pivotArea dataOnly="0" labelOnly="1" fieldPosition="0">
        <references count="1">
          <reference field="3" count="19">
            <x v="50"/>
            <x v="51"/>
            <x v="52"/>
            <x v="53"/>
            <x v="54"/>
            <x v="55"/>
            <x v="56"/>
            <x v="57"/>
            <x v="58"/>
            <x v="59"/>
            <x v="60"/>
            <x v="61"/>
            <x v="62"/>
            <x v="63"/>
            <x v="64"/>
            <x v="65"/>
            <x v="66"/>
            <x v="67"/>
            <x v="68"/>
          </reference>
        </references>
      </pivotArea>
    </format>
    <format dxfId="69">
      <pivotArea dataOnly="0" labelOnly="1" grandRow="1" outline="0" fieldPosition="0"/>
    </format>
    <format dxfId="68">
      <pivotArea dataOnly="0" labelOnly="1" fieldPosition="0">
        <references count="2">
          <reference field="3" count="1" selected="0">
            <x v="0"/>
          </reference>
          <reference field="4" count="1">
            <x v="1"/>
          </reference>
        </references>
      </pivotArea>
    </format>
    <format dxfId="67">
      <pivotArea dataOnly="0" labelOnly="1" fieldPosition="0">
        <references count="2">
          <reference field="3" count="1" selected="0">
            <x v="1"/>
          </reference>
          <reference field="4" count="1">
            <x v="0"/>
          </reference>
        </references>
      </pivotArea>
    </format>
    <format dxfId="66">
      <pivotArea dataOnly="0" labelOnly="1" fieldPosition="0">
        <references count="2">
          <reference field="3" count="1" selected="0">
            <x v="2"/>
          </reference>
          <reference field="4" count="1">
            <x v="1"/>
          </reference>
        </references>
      </pivotArea>
    </format>
    <format dxfId="65">
      <pivotArea dataOnly="0" labelOnly="1" fieldPosition="0">
        <references count="2">
          <reference field="3" count="1" selected="0">
            <x v="3"/>
          </reference>
          <reference field="4" count="1">
            <x v="1"/>
          </reference>
        </references>
      </pivotArea>
    </format>
    <format dxfId="64">
      <pivotArea dataOnly="0" labelOnly="1" fieldPosition="0">
        <references count="2">
          <reference field="3" count="1" selected="0">
            <x v="4"/>
          </reference>
          <reference field="4" count="1">
            <x v="0"/>
          </reference>
        </references>
      </pivotArea>
    </format>
    <format dxfId="63">
      <pivotArea dataOnly="0" labelOnly="1" fieldPosition="0">
        <references count="2">
          <reference field="3" count="1" selected="0">
            <x v="5"/>
          </reference>
          <reference field="4" count="1">
            <x v="0"/>
          </reference>
        </references>
      </pivotArea>
    </format>
    <format dxfId="62">
      <pivotArea dataOnly="0" labelOnly="1" fieldPosition="0">
        <references count="2">
          <reference field="3" count="1" selected="0">
            <x v="6"/>
          </reference>
          <reference field="4" count="1">
            <x v="1"/>
          </reference>
        </references>
      </pivotArea>
    </format>
    <format dxfId="61">
      <pivotArea dataOnly="0" labelOnly="1" fieldPosition="0">
        <references count="2">
          <reference field="3" count="1" selected="0">
            <x v="7"/>
          </reference>
          <reference field="4" count="1">
            <x v="1"/>
          </reference>
        </references>
      </pivotArea>
    </format>
    <format dxfId="60">
      <pivotArea dataOnly="0" labelOnly="1" fieldPosition="0">
        <references count="2">
          <reference field="3" count="1" selected="0">
            <x v="8"/>
          </reference>
          <reference field="4" count="1">
            <x v="1"/>
          </reference>
        </references>
      </pivotArea>
    </format>
    <format dxfId="59">
      <pivotArea dataOnly="0" labelOnly="1" fieldPosition="0">
        <references count="2">
          <reference field="3" count="1" selected="0">
            <x v="9"/>
          </reference>
          <reference field="4" count="1">
            <x v="1"/>
          </reference>
        </references>
      </pivotArea>
    </format>
    <format dxfId="58">
      <pivotArea dataOnly="0" labelOnly="1" fieldPosition="0">
        <references count="2">
          <reference field="3" count="1" selected="0">
            <x v="10"/>
          </reference>
          <reference field="4" count="1">
            <x v="0"/>
          </reference>
        </references>
      </pivotArea>
    </format>
    <format dxfId="57">
      <pivotArea dataOnly="0" labelOnly="1" fieldPosition="0">
        <references count="2">
          <reference field="3" count="1" selected="0">
            <x v="11"/>
          </reference>
          <reference field="4" count="1">
            <x v="1"/>
          </reference>
        </references>
      </pivotArea>
    </format>
    <format dxfId="56">
      <pivotArea dataOnly="0" labelOnly="1" fieldPosition="0">
        <references count="2">
          <reference field="3" count="1" selected="0">
            <x v="12"/>
          </reference>
          <reference field="4" count="1">
            <x v="0"/>
          </reference>
        </references>
      </pivotArea>
    </format>
    <format dxfId="55">
      <pivotArea dataOnly="0" labelOnly="1" fieldPosition="0">
        <references count="2">
          <reference field="3" count="1" selected="0">
            <x v="13"/>
          </reference>
          <reference field="4" count="1">
            <x v="1"/>
          </reference>
        </references>
      </pivotArea>
    </format>
    <format dxfId="54">
      <pivotArea dataOnly="0" labelOnly="1" fieldPosition="0">
        <references count="2">
          <reference field="3" count="1" selected="0">
            <x v="14"/>
          </reference>
          <reference field="4" count="1">
            <x v="0"/>
          </reference>
        </references>
      </pivotArea>
    </format>
    <format dxfId="53">
      <pivotArea dataOnly="0" labelOnly="1" fieldPosition="0">
        <references count="2">
          <reference field="3" count="1" selected="0">
            <x v="15"/>
          </reference>
          <reference field="4" count="1">
            <x v="1"/>
          </reference>
        </references>
      </pivotArea>
    </format>
    <format dxfId="52">
      <pivotArea dataOnly="0" labelOnly="1" fieldPosition="0">
        <references count="2">
          <reference field="3" count="1" selected="0">
            <x v="16"/>
          </reference>
          <reference field="4" count="1">
            <x v="1"/>
          </reference>
        </references>
      </pivotArea>
    </format>
    <format dxfId="51">
      <pivotArea dataOnly="0" labelOnly="1" fieldPosition="0">
        <references count="2">
          <reference field="3" count="1" selected="0">
            <x v="17"/>
          </reference>
          <reference field="4" count="1">
            <x v="0"/>
          </reference>
        </references>
      </pivotArea>
    </format>
    <format dxfId="50">
      <pivotArea dataOnly="0" labelOnly="1" fieldPosition="0">
        <references count="2">
          <reference field="3" count="1" selected="0">
            <x v="18"/>
          </reference>
          <reference field="4" count="1">
            <x v="1"/>
          </reference>
        </references>
      </pivotArea>
    </format>
    <format dxfId="49">
      <pivotArea dataOnly="0" labelOnly="1" fieldPosition="0">
        <references count="2">
          <reference field="3" count="1" selected="0">
            <x v="19"/>
          </reference>
          <reference field="4" count="1">
            <x v="0"/>
          </reference>
        </references>
      </pivotArea>
    </format>
    <format dxfId="48">
      <pivotArea dataOnly="0" labelOnly="1" fieldPosition="0">
        <references count="2">
          <reference field="3" count="1" selected="0">
            <x v="20"/>
          </reference>
          <reference field="4" count="1">
            <x v="0"/>
          </reference>
        </references>
      </pivotArea>
    </format>
    <format dxfId="47">
      <pivotArea dataOnly="0" labelOnly="1" fieldPosition="0">
        <references count="2">
          <reference field="3" count="1" selected="0">
            <x v="21"/>
          </reference>
          <reference field="4" count="1">
            <x v="1"/>
          </reference>
        </references>
      </pivotArea>
    </format>
    <format dxfId="46">
      <pivotArea dataOnly="0" labelOnly="1" fieldPosition="0">
        <references count="2">
          <reference field="3" count="1" selected="0">
            <x v="22"/>
          </reference>
          <reference field="4" count="1">
            <x v="1"/>
          </reference>
        </references>
      </pivotArea>
    </format>
    <format dxfId="45">
      <pivotArea dataOnly="0" labelOnly="1" fieldPosition="0">
        <references count="2">
          <reference field="3" count="1" selected="0">
            <x v="23"/>
          </reference>
          <reference field="4" count="1">
            <x v="1"/>
          </reference>
        </references>
      </pivotArea>
    </format>
    <format dxfId="44">
      <pivotArea dataOnly="0" labelOnly="1" fieldPosition="0">
        <references count="2">
          <reference field="3" count="1" selected="0">
            <x v="24"/>
          </reference>
          <reference field="4" count="1">
            <x v="1"/>
          </reference>
        </references>
      </pivotArea>
    </format>
    <format dxfId="43">
      <pivotArea dataOnly="0" labelOnly="1" fieldPosition="0">
        <references count="2">
          <reference field="3" count="1" selected="0">
            <x v="25"/>
          </reference>
          <reference field="4" count="1">
            <x v="1"/>
          </reference>
        </references>
      </pivotArea>
    </format>
    <format dxfId="42">
      <pivotArea dataOnly="0" labelOnly="1" fieldPosition="0">
        <references count="2">
          <reference field="3" count="1" selected="0">
            <x v="26"/>
          </reference>
          <reference field="4" count="1">
            <x v="1"/>
          </reference>
        </references>
      </pivotArea>
    </format>
    <format dxfId="41">
      <pivotArea dataOnly="0" labelOnly="1" fieldPosition="0">
        <references count="2">
          <reference field="3" count="1" selected="0">
            <x v="27"/>
          </reference>
          <reference field="4" count="1">
            <x v="0"/>
          </reference>
        </references>
      </pivotArea>
    </format>
    <format dxfId="40">
      <pivotArea dataOnly="0" labelOnly="1" fieldPosition="0">
        <references count="2">
          <reference field="3" count="1" selected="0">
            <x v="28"/>
          </reference>
          <reference field="4" count="1">
            <x v="1"/>
          </reference>
        </references>
      </pivotArea>
    </format>
    <format dxfId="39">
      <pivotArea dataOnly="0" labelOnly="1" fieldPosition="0">
        <references count="2">
          <reference field="3" count="1" selected="0">
            <x v="29"/>
          </reference>
          <reference field="4" count="1">
            <x v="1"/>
          </reference>
        </references>
      </pivotArea>
    </format>
    <format dxfId="38">
      <pivotArea dataOnly="0" labelOnly="1" fieldPosition="0">
        <references count="2">
          <reference field="3" count="1" selected="0">
            <x v="30"/>
          </reference>
          <reference field="4" count="1">
            <x v="1"/>
          </reference>
        </references>
      </pivotArea>
    </format>
    <format dxfId="37">
      <pivotArea dataOnly="0" labelOnly="1" fieldPosition="0">
        <references count="2">
          <reference field="3" count="1" selected="0">
            <x v="31"/>
          </reference>
          <reference field="4" count="1">
            <x v="1"/>
          </reference>
        </references>
      </pivotArea>
    </format>
    <format dxfId="36">
      <pivotArea dataOnly="0" labelOnly="1" fieldPosition="0">
        <references count="2">
          <reference field="3" count="1" selected="0">
            <x v="32"/>
          </reference>
          <reference field="4" count="1">
            <x v="1"/>
          </reference>
        </references>
      </pivotArea>
    </format>
    <format dxfId="35">
      <pivotArea dataOnly="0" labelOnly="1" fieldPosition="0">
        <references count="2">
          <reference field="3" count="1" selected="0">
            <x v="33"/>
          </reference>
          <reference field="4" count="1">
            <x v="0"/>
          </reference>
        </references>
      </pivotArea>
    </format>
    <format dxfId="34">
      <pivotArea dataOnly="0" labelOnly="1" fieldPosition="0">
        <references count="2">
          <reference field="3" count="1" selected="0">
            <x v="34"/>
          </reference>
          <reference field="4" count="1">
            <x v="1"/>
          </reference>
        </references>
      </pivotArea>
    </format>
    <format dxfId="33">
      <pivotArea dataOnly="0" labelOnly="1" fieldPosition="0">
        <references count="2">
          <reference field="3" count="1" selected="0">
            <x v="35"/>
          </reference>
          <reference field="4" count="1">
            <x v="1"/>
          </reference>
        </references>
      </pivotArea>
    </format>
    <format dxfId="32">
      <pivotArea dataOnly="0" labelOnly="1" fieldPosition="0">
        <references count="2">
          <reference field="3" count="1" selected="0">
            <x v="36"/>
          </reference>
          <reference field="4" count="1">
            <x v="1"/>
          </reference>
        </references>
      </pivotArea>
    </format>
    <format dxfId="31">
      <pivotArea dataOnly="0" labelOnly="1" fieldPosition="0">
        <references count="2">
          <reference field="3" count="1" selected="0">
            <x v="37"/>
          </reference>
          <reference field="4" count="1">
            <x v="1"/>
          </reference>
        </references>
      </pivotArea>
    </format>
    <format dxfId="30">
      <pivotArea dataOnly="0" labelOnly="1" fieldPosition="0">
        <references count="2">
          <reference field="3" count="1" selected="0">
            <x v="38"/>
          </reference>
          <reference field="4" count="1">
            <x v="1"/>
          </reference>
        </references>
      </pivotArea>
    </format>
    <format dxfId="29">
      <pivotArea dataOnly="0" labelOnly="1" fieldPosition="0">
        <references count="2">
          <reference field="3" count="1" selected="0">
            <x v="39"/>
          </reference>
          <reference field="4" count="1">
            <x v="1"/>
          </reference>
        </references>
      </pivotArea>
    </format>
    <format dxfId="28">
      <pivotArea dataOnly="0" labelOnly="1" fieldPosition="0">
        <references count="2">
          <reference field="3" count="1" selected="0">
            <x v="40"/>
          </reference>
          <reference field="4" count="1">
            <x v="1"/>
          </reference>
        </references>
      </pivotArea>
    </format>
    <format dxfId="27">
      <pivotArea dataOnly="0" labelOnly="1" fieldPosition="0">
        <references count="2">
          <reference field="3" count="1" selected="0">
            <x v="41"/>
          </reference>
          <reference field="4" count="1">
            <x v="1"/>
          </reference>
        </references>
      </pivotArea>
    </format>
    <format dxfId="26">
      <pivotArea dataOnly="0" labelOnly="1" fieldPosition="0">
        <references count="2">
          <reference field="3" count="1" selected="0">
            <x v="42"/>
          </reference>
          <reference field="4" count="1">
            <x v="0"/>
          </reference>
        </references>
      </pivotArea>
    </format>
    <format dxfId="25">
      <pivotArea dataOnly="0" labelOnly="1" fieldPosition="0">
        <references count="2">
          <reference field="3" count="1" selected="0">
            <x v="43"/>
          </reference>
          <reference field="4" count="1">
            <x v="0"/>
          </reference>
        </references>
      </pivotArea>
    </format>
    <format dxfId="24">
      <pivotArea dataOnly="0" labelOnly="1" fieldPosition="0">
        <references count="2">
          <reference field="3" count="1" selected="0">
            <x v="44"/>
          </reference>
          <reference field="4" count="1">
            <x v="1"/>
          </reference>
        </references>
      </pivotArea>
    </format>
    <format dxfId="23">
      <pivotArea dataOnly="0" labelOnly="1" fieldPosition="0">
        <references count="2">
          <reference field="3" count="1" selected="0">
            <x v="45"/>
          </reference>
          <reference field="4" count="1">
            <x v="1"/>
          </reference>
        </references>
      </pivotArea>
    </format>
    <format dxfId="22">
      <pivotArea dataOnly="0" labelOnly="1" fieldPosition="0">
        <references count="2">
          <reference field="3" count="1" selected="0">
            <x v="46"/>
          </reference>
          <reference field="4" count="1">
            <x v="1"/>
          </reference>
        </references>
      </pivotArea>
    </format>
    <format dxfId="21">
      <pivotArea dataOnly="0" labelOnly="1" fieldPosition="0">
        <references count="2">
          <reference field="3" count="1" selected="0">
            <x v="47"/>
          </reference>
          <reference field="4" count="1">
            <x v="0"/>
          </reference>
        </references>
      </pivotArea>
    </format>
    <format dxfId="20">
      <pivotArea dataOnly="0" labelOnly="1" fieldPosition="0">
        <references count="2">
          <reference field="3" count="1" selected="0">
            <x v="48"/>
          </reference>
          <reference field="4" count="1">
            <x v="1"/>
          </reference>
        </references>
      </pivotArea>
    </format>
    <format dxfId="19">
      <pivotArea dataOnly="0" labelOnly="1" fieldPosition="0">
        <references count="2">
          <reference field="3" count="1" selected="0">
            <x v="49"/>
          </reference>
          <reference field="4" count="1">
            <x v="1"/>
          </reference>
        </references>
      </pivotArea>
    </format>
    <format dxfId="18">
      <pivotArea dataOnly="0" labelOnly="1" fieldPosition="0">
        <references count="2">
          <reference field="3" count="1" selected="0">
            <x v="50"/>
          </reference>
          <reference field="4" count="1">
            <x v="1"/>
          </reference>
        </references>
      </pivotArea>
    </format>
    <format dxfId="17">
      <pivotArea dataOnly="0" labelOnly="1" fieldPosition="0">
        <references count="2">
          <reference field="3" count="1" selected="0">
            <x v="51"/>
          </reference>
          <reference field="4" count="1">
            <x v="1"/>
          </reference>
        </references>
      </pivotArea>
    </format>
    <format dxfId="16">
      <pivotArea dataOnly="0" labelOnly="1" fieldPosition="0">
        <references count="2">
          <reference field="3" count="1" selected="0">
            <x v="52"/>
          </reference>
          <reference field="4" count="1">
            <x v="0"/>
          </reference>
        </references>
      </pivotArea>
    </format>
    <format dxfId="15">
      <pivotArea dataOnly="0" labelOnly="1" fieldPosition="0">
        <references count="2">
          <reference field="3" count="1" selected="0">
            <x v="53"/>
          </reference>
          <reference field="4" count="1">
            <x v="1"/>
          </reference>
        </references>
      </pivotArea>
    </format>
    <format dxfId="14">
      <pivotArea dataOnly="0" labelOnly="1" fieldPosition="0">
        <references count="2">
          <reference field="3" count="1" selected="0">
            <x v="54"/>
          </reference>
          <reference field="4" count="1">
            <x v="1"/>
          </reference>
        </references>
      </pivotArea>
    </format>
    <format dxfId="13">
      <pivotArea dataOnly="0" labelOnly="1" fieldPosition="0">
        <references count="2">
          <reference field="3" count="1" selected="0">
            <x v="55"/>
          </reference>
          <reference field="4" count="1">
            <x v="0"/>
          </reference>
        </references>
      </pivotArea>
    </format>
    <format dxfId="12">
      <pivotArea dataOnly="0" labelOnly="1" fieldPosition="0">
        <references count="2">
          <reference field="3" count="1" selected="0">
            <x v="56"/>
          </reference>
          <reference field="4" count="1">
            <x v="1"/>
          </reference>
        </references>
      </pivotArea>
    </format>
    <format dxfId="11">
      <pivotArea dataOnly="0" labelOnly="1" fieldPosition="0">
        <references count="2">
          <reference field="3" count="1" selected="0">
            <x v="57"/>
          </reference>
          <reference field="4" count="1">
            <x v="1"/>
          </reference>
        </references>
      </pivotArea>
    </format>
    <format dxfId="10">
      <pivotArea dataOnly="0" labelOnly="1" fieldPosition="0">
        <references count="2">
          <reference field="3" count="1" selected="0">
            <x v="58"/>
          </reference>
          <reference field="4" count="1">
            <x v="1"/>
          </reference>
        </references>
      </pivotArea>
    </format>
    <format dxfId="9">
      <pivotArea dataOnly="0" labelOnly="1" fieldPosition="0">
        <references count="2">
          <reference field="3" count="1" selected="0">
            <x v="59"/>
          </reference>
          <reference field="4" count="1">
            <x v="0"/>
          </reference>
        </references>
      </pivotArea>
    </format>
    <format dxfId="8">
      <pivotArea dataOnly="0" labelOnly="1" fieldPosition="0">
        <references count="2">
          <reference field="3" count="1" selected="0">
            <x v="60"/>
          </reference>
          <reference field="4" count="1">
            <x v="0"/>
          </reference>
        </references>
      </pivotArea>
    </format>
    <format dxfId="7">
      <pivotArea dataOnly="0" labelOnly="1" fieldPosition="0">
        <references count="2">
          <reference field="3" count="1" selected="0">
            <x v="61"/>
          </reference>
          <reference field="4" count="1">
            <x v="1"/>
          </reference>
        </references>
      </pivotArea>
    </format>
    <format dxfId="6">
      <pivotArea dataOnly="0" labelOnly="1" fieldPosition="0">
        <references count="2">
          <reference field="3" count="1" selected="0">
            <x v="62"/>
          </reference>
          <reference field="4" count="1">
            <x v="1"/>
          </reference>
        </references>
      </pivotArea>
    </format>
    <format dxfId="5">
      <pivotArea dataOnly="0" labelOnly="1" fieldPosition="0">
        <references count="2">
          <reference field="3" count="1" selected="0">
            <x v="63"/>
          </reference>
          <reference field="4" count="1">
            <x v="1"/>
          </reference>
        </references>
      </pivotArea>
    </format>
    <format dxfId="4">
      <pivotArea dataOnly="0" labelOnly="1" fieldPosition="0">
        <references count="2">
          <reference field="3" count="1" selected="0">
            <x v="64"/>
          </reference>
          <reference field="4" count="1">
            <x v="1"/>
          </reference>
        </references>
      </pivotArea>
    </format>
    <format dxfId="3">
      <pivotArea dataOnly="0" labelOnly="1" fieldPosition="0">
        <references count="2">
          <reference field="3" count="1" selected="0">
            <x v="65"/>
          </reference>
          <reference field="4" count="1">
            <x v="0"/>
          </reference>
        </references>
      </pivotArea>
    </format>
    <format dxfId="2">
      <pivotArea dataOnly="0" labelOnly="1" fieldPosition="0">
        <references count="2">
          <reference field="3" count="1" selected="0">
            <x v="66"/>
          </reference>
          <reference field="4" count="1">
            <x v="1"/>
          </reference>
        </references>
      </pivotArea>
    </format>
    <format dxfId="1">
      <pivotArea dataOnly="0" labelOnly="1" fieldPosition="0">
        <references count="2">
          <reference field="3" count="1" selected="0">
            <x v="67"/>
          </reference>
          <reference field="4" count="1">
            <x v="0"/>
          </reference>
        </references>
      </pivotArea>
    </format>
    <format dxfId="0">
      <pivotArea dataOnly="0" labelOnly="1" fieldPosition="0">
        <references count="2">
          <reference field="3" count="1" selected="0">
            <x v="68"/>
          </reference>
          <reference field="4" count="1">
            <x v="0"/>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 xr10:uid="{ED7B2C38-C297-4290-87B6-D72D2BEF2AE4}" sourceName="S.N.">
  <pivotTables>
    <pivotTable tabId="3" name="PivotTable2"/>
  </pivotTables>
  <data>
    <tabular pivotCacheId="1273248127">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1" xr10:uid="{4CF28246-C25E-4978-B20D-6A2A3578E583}" sourceName="S.N.">
  <pivotTables>
    <pivotTable tabId="4" name="PivotTable3"/>
  </pivotTables>
  <data>
    <tabular pivotCacheId="1273248127">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1" xr10:uid="{8269C441-FBD9-4F7F-B331-9A21159E45A1}" sourceName="Constituency">
  <pivotTables>
    <pivotTable tabId="4" name="PivotTable3"/>
  </pivotTables>
  <data>
    <tabular pivotCacheId="1273248127">
      <items count="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 xr10:uid="{A344477B-FAF4-4705-A3DE-03E1DD2DDDE0}" sourceName="Constituency">
  <pivotTables>
    <pivotTable tabId="3" name="PivotTable2"/>
  </pivotTables>
  <data>
    <tabular pivotCacheId="1273248127">
      <items count="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2" xr10:uid="{4DDBD8EC-56A3-4CDA-A90E-8DDC12753653}" sourceName="S.N.">
  <pivotTables>
    <pivotTable tabId="5" name="PivotTable4"/>
  </pivotTables>
  <data>
    <tabular pivotCacheId="1273248127">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DFA2C691-0411-4F88-BA54-08F31ACC2DB6}" sourceName="Party">
  <pivotTables>
    <pivotTable tabId="5" name="PivotTable4"/>
  </pivotTables>
  <data>
    <tabular pivotCacheId="1273248127">
      <items count="107">
        <i x="51" s="1"/>
        <i x="2" s="1"/>
        <i x="17" s="1"/>
        <i x="24" s="1"/>
        <i x="58" s="1"/>
        <i x="83" s="1"/>
        <i x="18" s="1"/>
        <i x="96" s="1"/>
        <i x="4" s="1"/>
        <i x="49" s="1"/>
        <i x="60" s="1"/>
        <i x="89" s="1"/>
        <i x="35" s="1"/>
        <i x="88" s="1"/>
        <i x="34" s="1"/>
        <i x="91" s="1"/>
        <i x="61" s="1"/>
        <i x="103" s="1"/>
        <i x="32" s="1"/>
        <i x="47" s="1"/>
        <i x="41" s="1"/>
        <i x="92" s="1"/>
        <i x="105" s="1"/>
        <i x="7" s="1"/>
        <i x="42" s="1"/>
        <i x="44" s="1"/>
        <i x="56" s="1"/>
        <i x="97" s="1"/>
        <i x="48" s="1"/>
        <i x="29" s="1"/>
        <i x="99" s="1"/>
        <i x="73" s="1"/>
        <i x="90" s="1"/>
        <i x="13" s="1"/>
        <i x="1" s="1"/>
        <i x="71" s="1"/>
        <i x="80" s="1"/>
        <i x="63" s="1"/>
        <i x="77" s="1"/>
        <i x="101" s="1"/>
        <i x="79" s="1"/>
        <i x="10" s="1"/>
        <i x="78" s="1"/>
        <i x="57" s="1"/>
        <i x="28" s="1"/>
        <i x="87" s="1"/>
        <i x="3" s="1"/>
        <i x="72" s="1"/>
        <i x="65" s="1"/>
        <i x="45" s="1"/>
        <i x="54" s="1"/>
        <i x="76" s="1"/>
        <i x="5" s="1"/>
        <i x="0" s="1"/>
        <i x="23" s="1"/>
        <i x="33" s="1"/>
        <i x="21" s="1"/>
        <i x="16" s="1"/>
        <i x="8" s="1"/>
        <i x="50" s="1"/>
        <i x="75" s="1"/>
        <i x="82" s="1"/>
        <i x="95" s="1"/>
        <i x="81" s="1"/>
        <i x="36" s="1"/>
        <i x="27" s="1"/>
        <i x="14" s="1"/>
        <i x="26" s="1"/>
        <i x="43" s="1"/>
        <i x="6" s="1"/>
        <i x="68" s="1"/>
        <i x="37" s="1"/>
        <i x="66" s="1"/>
        <i x="22" s="1"/>
        <i x="69" s="1"/>
        <i x="15" s="1"/>
        <i x="94" s="1"/>
        <i x="46" s="1"/>
        <i x="70" s="1"/>
        <i x="25" s="1"/>
        <i x="52" s="1"/>
        <i x="85" s="1"/>
        <i x="104" s="1"/>
        <i x="9" s="1"/>
        <i x="64" s="1"/>
        <i x="40" s="1"/>
        <i x="38" s="1"/>
        <i x="62" s="1"/>
        <i x="102" s="1"/>
        <i x="20" s="1"/>
        <i x="19" s="1"/>
        <i x="11" s="1"/>
        <i x="67" s="1"/>
        <i x="74" s="1"/>
        <i x="86" s="1"/>
        <i x="98" s="1"/>
        <i x="55" s="1"/>
        <i x="12" s="1"/>
        <i x="106" s="1"/>
        <i x="30" s="1"/>
        <i x="59" s="1"/>
        <i x="39" s="1"/>
        <i x="100" s="1"/>
        <i x="84" s="1"/>
        <i x="93" s="1"/>
        <i x="53" s="1"/>
        <i x="3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_W.No." xr10:uid="{C0B33E9C-D2D8-40FD-BA49-D13461239423}" sourceName="Constituency(W.No.)">
  <pivotTables>
    <pivotTable tabId="7" name="PivotTable2"/>
  </pivotTables>
  <data>
    <tabular pivotCacheId="1338845048">
      <items count="6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3" xr10:uid="{395EC142-A672-4143-A425-BD0FEADFF2EA}" sourceName="S.N.">
  <pivotTables>
    <pivotTable tabId="7" name="PivotTable2"/>
  </pivotTables>
  <data>
    <tabular pivotCacheId="1338845048">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2" xr10:uid="{CA91688E-92C8-403A-85E1-7DE1B6A4D352}" cache="Slicer_S.N.2" caption="S.N." style="SlicerStyleLight3" rowHeight="273050"/>
  <slicer name="Party" xr10:uid="{8D942C71-0678-4659-B7E0-DF677F57DAD8}" cache="Slicer_Party" caption="Party" style="SlicerStyleLight3"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xr10:uid="{B57C970B-65A7-4A3A-9986-4327E0AC3FD4}" cache="Slicer_S.N." caption="S.N." style="SlicerStyleLight2" rowHeight="234950"/>
  <slicer name="Constituency" xr10:uid="{B0D11996-76F7-4037-92FD-68C7BDD0EAEC}" cache="Slicer_Constituency" caption="Constituency"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1" xr10:uid="{85ED1849-12BD-4624-8D4E-67282F372292}" cache="Slicer_S.N.1" caption="S.N." rowHeight="273050"/>
  <slicer name="Constituency 1" xr10:uid="{274BE31F-6B8F-4D25-9A73-5A269C31324A}" cache="Slicer_Constituency1" caption="Constituency"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tituency(W.No.)" xr10:uid="{E4EE5D9C-4219-4968-B163-FA2975600CB2}" cache="Slicer_Constituency_W.No." caption="Constituency(W.No.)" rowHeight="273050"/>
  <slicer name="S.N. 3" xr10:uid="{778574D6-6353-4AB6-827A-F31C09720EA7}" cache="Slicer_S.N.3" caption="S.N."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4D86C-6E3A-4A95-B79C-BA0EEDB2BEF5}" name="Table1" displayName="Table1" ref="A3:H772" totalsRowShown="0" headerRowDxfId="2481" dataDxfId="2480">
  <autoFilter ref="A3:H772" xr:uid="{9F24D86C-6E3A-4A95-B79C-BA0EEDB2BEF5}"/>
  <tableColumns count="8">
    <tableColumn id="1" xr3:uid="{43CC7803-D30B-4918-99BA-0315F0F2F279}" name="S.N." dataDxfId="2479"/>
    <tableColumn id="2" xr3:uid="{5459855A-013B-4B05-B63D-D7C043E0F4DF}" name="Candidate" dataDxfId="2478"/>
    <tableColumn id="3" xr3:uid="{AE5B7FF2-7B06-48BB-AB4D-A23F2A3EA9C8}" name="Party" dataDxfId="2477"/>
    <tableColumn id="4" xr3:uid="{D9C33153-37EE-4C0D-93AE-7D23BCD4313A}" name="EVM Votes" dataDxfId="2476"/>
    <tableColumn id="5" xr3:uid="{36806AB4-9E4D-4F23-8D20-390EE2590959}" name="Postal Votes" dataDxfId="2475"/>
    <tableColumn id="6" xr3:uid="{818D12B3-1178-4FC2-8F1E-5F7BD4FCCBC8}" name="Total Votes" dataDxfId="2474"/>
    <tableColumn id="7" xr3:uid="{9CD6D41E-E913-4DD6-9FA6-E6D3747C3C5F}" name="perecentage of Votes" dataDxfId="2473"/>
    <tableColumn id="8" xr3:uid="{BAB7820C-BAB8-4C79-9575-714E35CD3ECA}" name="Constituency(W.No.)" dataDxfId="2472"/>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9CC827-BA10-4C7F-8753-852E4854F65F}" name="Table2" displayName="Table2" ref="U3:AC72" totalsRowShown="0" headerRowDxfId="2471" dataDxfId="2469" headerRowBorderDxfId="2470" tableBorderDxfId="2468" totalsRowBorderDxfId="2467">
  <autoFilter ref="U3:AC72" xr:uid="{E79CC827-BA10-4C7F-8753-852E4854F65F}"/>
  <tableColumns count="9">
    <tableColumn id="1" xr3:uid="{7821AAA0-75B0-403A-B418-808C6904137A}" name="Constituency(W.No.)" dataDxfId="2466"/>
    <tableColumn id="2" xr3:uid="{FC69C546-8EF2-4544-81E3-C5C61F1BBDBB}" name="P.L" dataDxfId="2465"/>
    <tableColumn id="3" xr3:uid="{E5105DB0-AB2D-4D0D-91C4-175DFB1AC7A2}" name="S.N." dataDxfId="2464"/>
    <tableColumn id="4" xr3:uid="{81DD4B52-154D-4DCC-B8A8-EF13A9A2B44F}" name="Candidate" dataDxfId="2463"/>
    <tableColumn id="5" xr3:uid="{AB6CF2F8-5D9C-4332-9D3C-B428B179BEF2}" name="Party" dataDxfId="2462"/>
    <tableColumn id="6" xr3:uid="{C412E254-81C8-494A-A78E-2962774E1FD7}" name="EVM Votes" dataDxfId="2461"/>
    <tableColumn id="7" xr3:uid="{35DA868E-FE99-4085-B3A1-F6B918364F79}" name="Postal Votes" dataDxfId="2460"/>
    <tableColumn id="8" xr3:uid="{CCFD4BCF-19EE-43FB-AC3C-BB658C997214}" name="Total Votes" dataDxfId="2459"/>
    <tableColumn id="9" xr3:uid="{7E8BA7A4-FA81-4519-AA7E-CF33A97E5229}" name="perecentage of Votes" dataDxfId="2458"/>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E90C-56DD-4D3D-8074-9B0012C93389}">
  <dimension ref="A1:AC772"/>
  <sheetViews>
    <sheetView tabSelected="1" zoomScale="101" zoomScaleNormal="250" workbookViewId="0">
      <selection activeCell="T7" sqref="T7"/>
    </sheetView>
  </sheetViews>
  <sheetFormatPr defaultRowHeight="18" x14ac:dyDescent="0.5"/>
  <cols>
    <col min="1" max="1" width="14" bestFit="1" customWidth="1"/>
    <col min="2" max="2" width="40.109375" customWidth="1"/>
    <col min="3" max="3" width="47.77734375" customWidth="1"/>
    <col min="4" max="4" width="23.5546875" bestFit="1" customWidth="1"/>
    <col min="5" max="5" width="25.77734375" bestFit="1" customWidth="1"/>
    <col min="6" max="6" width="24.5546875" bestFit="1" customWidth="1"/>
    <col min="7" max="7" width="37.109375" bestFit="1" customWidth="1"/>
    <col min="8" max="8" width="38" bestFit="1" customWidth="1"/>
    <col min="12" max="12" width="23" bestFit="1" customWidth="1"/>
    <col min="13" max="13" width="49.44140625" bestFit="1" customWidth="1"/>
    <col min="14" max="14" width="21.44140625" customWidth="1"/>
    <col min="19" max="19" width="14.88671875" bestFit="1" customWidth="1"/>
    <col min="20" max="20" width="7.77734375" customWidth="1"/>
    <col min="21" max="21" width="31.88671875" customWidth="1"/>
    <col min="22" max="22" width="8.33203125" customWidth="1"/>
    <col min="23" max="23" width="11.21875" bestFit="1" customWidth="1"/>
    <col min="24" max="24" width="38.21875" bestFit="1" customWidth="1"/>
    <col min="25" max="25" width="21.109375" bestFit="1" customWidth="1"/>
    <col min="26" max="26" width="19.77734375" bestFit="1" customWidth="1"/>
    <col min="27" max="27" width="21.44140625" bestFit="1" customWidth="1"/>
    <col min="28" max="28" width="20.6640625" bestFit="1" customWidth="1"/>
    <col min="29" max="29" width="32.88671875" bestFit="1" customWidth="1"/>
    <col min="30" max="30" width="14.109375" bestFit="1" customWidth="1"/>
    <col min="31" max="31" width="7.88671875" bestFit="1" customWidth="1"/>
    <col min="32" max="32" width="15.109375" bestFit="1" customWidth="1"/>
    <col min="33" max="33" width="16.77734375" bestFit="1" customWidth="1"/>
    <col min="34" max="34" width="15.88671875" bestFit="1" customWidth="1"/>
    <col min="35" max="35" width="28.21875" bestFit="1" customWidth="1"/>
    <col min="36" max="36" width="28.6640625" bestFit="1" customWidth="1"/>
  </cols>
  <sheetData>
    <row r="1" spans="1:29" ht="27" customHeight="1" x14ac:dyDescent="0.5">
      <c r="A1" s="38" t="s">
        <v>788</v>
      </c>
      <c r="B1" s="38"/>
      <c r="C1" s="38"/>
      <c r="D1" s="38"/>
      <c r="E1" s="38"/>
      <c r="F1" s="38"/>
      <c r="G1" s="38"/>
      <c r="H1" s="38"/>
      <c r="K1" s="39" t="s">
        <v>794</v>
      </c>
      <c r="L1" s="39"/>
      <c r="M1" s="39"/>
      <c r="N1" s="40"/>
      <c r="U1" s="37" t="s">
        <v>795</v>
      </c>
      <c r="V1" s="37"/>
      <c r="W1" s="37"/>
      <c r="X1" s="37"/>
      <c r="Y1" s="37"/>
      <c r="Z1" s="37"/>
      <c r="AA1" s="37"/>
      <c r="AB1" s="37"/>
      <c r="AC1" s="37"/>
    </row>
    <row r="2" spans="1:29" ht="19.2" customHeight="1" x14ac:dyDescent="0.5">
      <c r="A2" s="38"/>
      <c r="B2" s="38"/>
      <c r="C2" s="38"/>
      <c r="D2" s="38"/>
      <c r="E2" s="38"/>
      <c r="F2" s="38"/>
      <c r="G2" s="38"/>
      <c r="H2" s="38"/>
      <c r="K2" s="41"/>
      <c r="L2" s="41"/>
      <c r="M2" s="41"/>
      <c r="N2" s="42"/>
      <c r="U2" s="37"/>
      <c r="V2" s="37"/>
      <c r="W2" s="37"/>
      <c r="X2" s="37"/>
      <c r="Y2" s="37"/>
      <c r="Z2" s="37"/>
      <c r="AA2" s="37"/>
      <c r="AB2" s="37"/>
      <c r="AC2" s="37"/>
    </row>
    <row r="3" spans="1:29" ht="21.6" customHeight="1" x14ac:dyDescent="0.5">
      <c r="A3" s="7" t="s">
        <v>0</v>
      </c>
      <c r="B3" s="7" t="s">
        <v>1</v>
      </c>
      <c r="C3" s="7" t="s">
        <v>2</v>
      </c>
      <c r="D3" s="7" t="s">
        <v>3</v>
      </c>
      <c r="E3" s="7" t="s">
        <v>4</v>
      </c>
      <c r="F3" s="7" t="s">
        <v>5</v>
      </c>
      <c r="G3" s="7" t="s">
        <v>6</v>
      </c>
      <c r="H3" s="7" t="s">
        <v>792</v>
      </c>
      <c r="K3" s="7" t="s">
        <v>0</v>
      </c>
      <c r="L3" s="7" t="s">
        <v>1</v>
      </c>
      <c r="M3" s="7" t="s">
        <v>2</v>
      </c>
      <c r="N3" s="7" t="s">
        <v>5</v>
      </c>
      <c r="U3" s="19" t="s">
        <v>792</v>
      </c>
      <c r="V3" s="22" t="s">
        <v>796</v>
      </c>
      <c r="W3" s="20" t="s">
        <v>0</v>
      </c>
      <c r="X3" s="20" t="s">
        <v>1</v>
      </c>
      <c r="Y3" s="20" t="s">
        <v>2</v>
      </c>
      <c r="Z3" s="20" t="s">
        <v>3</v>
      </c>
      <c r="AA3" s="20" t="s">
        <v>4</v>
      </c>
      <c r="AB3" s="20" t="s">
        <v>5</v>
      </c>
      <c r="AC3" s="21" t="s">
        <v>6</v>
      </c>
    </row>
    <row r="4" spans="1:29" x14ac:dyDescent="0.5">
      <c r="A4" s="1">
        <v>1</v>
      </c>
      <c r="B4" s="1" t="s">
        <v>8</v>
      </c>
      <c r="C4" s="1" t="s">
        <v>9</v>
      </c>
      <c r="D4" s="1">
        <v>6724</v>
      </c>
      <c r="E4" s="1">
        <v>58</v>
      </c>
      <c r="F4" s="1">
        <v>6782</v>
      </c>
      <c r="G4" s="1">
        <v>3.88</v>
      </c>
      <c r="H4" s="1">
        <v>1</v>
      </c>
      <c r="K4" s="13">
        <v>1</v>
      </c>
      <c r="L4" s="1" t="str">
        <f>VLOOKUP(K4,Table1[],2,0)</f>
        <v>ARUNA</v>
      </c>
      <c r="M4" s="1" t="str">
        <f>VLOOKUP(K4,Table1[],3,0)</f>
        <v>Indian National Congress</v>
      </c>
      <c r="N4" s="1">
        <f>VLOOKUP(K4,Table1[],6,0)</f>
        <v>6782</v>
      </c>
      <c r="U4" s="25">
        <v>1</v>
      </c>
      <c r="V4" s="26"/>
      <c r="W4" s="27">
        <v>2</v>
      </c>
      <c r="X4" s="27" t="s">
        <v>10</v>
      </c>
      <c r="Y4" s="28" t="s">
        <v>782</v>
      </c>
      <c r="Z4" s="27">
        <v>86463</v>
      </c>
      <c r="AA4" s="27">
        <v>752</v>
      </c>
      <c r="AB4" s="27">
        <v>87215</v>
      </c>
      <c r="AC4" s="29">
        <v>49.91</v>
      </c>
    </row>
    <row r="5" spans="1:29" x14ac:dyDescent="0.5">
      <c r="A5" s="16">
        <v>2</v>
      </c>
      <c r="B5" s="16" t="s">
        <v>10</v>
      </c>
      <c r="C5" s="17" t="s">
        <v>782</v>
      </c>
      <c r="D5" s="16">
        <v>86463</v>
      </c>
      <c r="E5" s="16">
        <v>752</v>
      </c>
      <c r="F5" s="16">
        <v>87215</v>
      </c>
      <c r="G5" s="16">
        <v>49.91</v>
      </c>
      <c r="H5" s="16">
        <v>1</v>
      </c>
      <c r="K5" s="2">
        <v>2</v>
      </c>
      <c r="L5" s="1" t="str">
        <f>VLOOKUP(K5,Table1[],2,0)</f>
        <v>RAJ KARAN KHATRI</v>
      </c>
      <c r="M5" s="1" t="str">
        <f>VLOOKUP(K5,Table1[],3,0)</f>
        <v>Bhartiya Janta Party</v>
      </c>
      <c r="N5" s="1">
        <f>VLOOKUP(K5,Table1[],6,0)</f>
        <v>87215</v>
      </c>
      <c r="U5" s="30">
        <v>2</v>
      </c>
      <c r="V5" s="26"/>
      <c r="W5" s="31">
        <v>3</v>
      </c>
      <c r="X5" s="31" t="s">
        <v>25</v>
      </c>
      <c r="Y5" s="31" t="s">
        <v>12</v>
      </c>
      <c r="Z5" s="31">
        <v>120813</v>
      </c>
      <c r="AA5" s="31">
        <v>368</v>
      </c>
      <c r="AB5" s="31">
        <v>121181</v>
      </c>
      <c r="AC5" s="32">
        <v>47.57</v>
      </c>
    </row>
    <row r="6" spans="1:29" x14ac:dyDescent="0.5">
      <c r="A6" s="1">
        <v>3</v>
      </c>
      <c r="B6" s="1" t="s">
        <v>11</v>
      </c>
      <c r="C6" s="1" t="s">
        <v>12</v>
      </c>
      <c r="D6" s="1">
        <v>78395</v>
      </c>
      <c r="E6" s="1">
        <v>224</v>
      </c>
      <c r="F6" s="1">
        <v>78619</v>
      </c>
      <c r="G6" s="1">
        <v>44.99</v>
      </c>
      <c r="H6" s="1">
        <v>1</v>
      </c>
      <c r="K6" s="13">
        <v>3</v>
      </c>
      <c r="L6" s="1" t="str">
        <f>VLOOKUP(K6,Table1[],2,0)</f>
        <v>SHARAD KUMAR</v>
      </c>
      <c r="M6" s="1" t="str">
        <f>VLOOKUP(K6,Table1[],3,0)</f>
        <v>Aam Aadmi Party</v>
      </c>
      <c r="N6" s="1">
        <f>VLOOKUP(K6,Table1[],6,0)</f>
        <v>78619</v>
      </c>
      <c r="U6" s="25">
        <v>3</v>
      </c>
      <c r="V6" s="26"/>
      <c r="W6" s="27">
        <v>4</v>
      </c>
      <c r="X6" s="27" t="s">
        <v>51</v>
      </c>
      <c r="Y6" s="28" t="s">
        <v>782</v>
      </c>
      <c r="Z6" s="27">
        <v>55626</v>
      </c>
      <c r="AA6" s="27">
        <v>315</v>
      </c>
      <c r="AB6" s="27">
        <v>55941</v>
      </c>
      <c r="AC6" s="29">
        <v>46.03</v>
      </c>
    </row>
    <row r="7" spans="1:29" x14ac:dyDescent="0.5">
      <c r="A7" s="1">
        <v>4</v>
      </c>
      <c r="B7" s="1" t="s">
        <v>13</v>
      </c>
      <c r="C7" s="1" t="s">
        <v>14</v>
      </c>
      <c r="D7" s="1">
        <v>328</v>
      </c>
      <c r="E7" s="1">
        <v>0</v>
      </c>
      <c r="F7" s="1">
        <v>328</v>
      </c>
      <c r="G7" s="1">
        <v>0.19</v>
      </c>
      <c r="H7" s="1">
        <v>1</v>
      </c>
      <c r="K7" s="1">
        <v>4</v>
      </c>
      <c r="L7" s="1" t="str">
        <f>VLOOKUP(K7,Table1[],2,0)</f>
        <v>ANIL KUMAR SINGH</v>
      </c>
      <c r="M7" s="1" t="str">
        <f>VLOOKUP(K7,Table1[],3,0)</f>
        <v>Communist Party of India  (Marxist-Leninist)  (Liberation)</v>
      </c>
      <c r="N7" s="1">
        <f>VLOOKUP(K7,Table1[],6,0)</f>
        <v>328</v>
      </c>
      <c r="U7" s="25">
        <v>4</v>
      </c>
      <c r="V7" s="26"/>
      <c r="W7" s="27">
        <v>3</v>
      </c>
      <c r="X7" s="27" t="s">
        <v>67</v>
      </c>
      <c r="Y7" s="28" t="s">
        <v>782</v>
      </c>
      <c r="Z7" s="27">
        <v>52260</v>
      </c>
      <c r="AA7" s="27">
        <v>250</v>
      </c>
      <c r="AB7" s="27">
        <v>52510</v>
      </c>
      <c r="AC7" s="29">
        <v>52.27</v>
      </c>
    </row>
    <row r="8" spans="1:29" x14ac:dyDescent="0.5">
      <c r="A8" s="1">
        <v>5</v>
      </c>
      <c r="B8" s="1" t="s">
        <v>15</v>
      </c>
      <c r="C8" s="1" t="s">
        <v>16</v>
      </c>
      <c r="D8" s="1">
        <v>278</v>
      </c>
      <c r="E8" s="1">
        <v>0</v>
      </c>
      <c r="F8" s="1">
        <v>278</v>
      </c>
      <c r="G8" s="1">
        <v>0.16</v>
      </c>
      <c r="H8" s="1">
        <v>1</v>
      </c>
      <c r="K8" s="13">
        <v>5</v>
      </c>
      <c r="L8" s="1" t="str">
        <f>VLOOKUP(K8,Table1[],2,0)</f>
        <v>MD KHALID</v>
      </c>
      <c r="M8" s="1" t="str">
        <f>VLOOKUP(K8,Table1[],3,0)</f>
        <v>Aazad Samaj Party (Kanshi Ram)</v>
      </c>
      <c r="N8" s="1">
        <f>VLOOKUP(K8,Table1[],6,0)</f>
        <v>278</v>
      </c>
      <c r="U8" s="25">
        <v>5</v>
      </c>
      <c r="V8" s="26"/>
      <c r="W8" s="27">
        <v>2</v>
      </c>
      <c r="X8" s="27" t="s">
        <v>85</v>
      </c>
      <c r="Y8" s="28" t="s">
        <v>782</v>
      </c>
      <c r="Z8" s="27">
        <v>61011</v>
      </c>
      <c r="AA8" s="27">
        <v>181</v>
      </c>
      <c r="AB8" s="27">
        <v>61192</v>
      </c>
      <c r="AC8" s="29">
        <v>40.56</v>
      </c>
    </row>
    <row r="9" spans="1:29" x14ac:dyDescent="0.5">
      <c r="A9" s="1">
        <v>6</v>
      </c>
      <c r="B9" s="1" t="s">
        <v>17</v>
      </c>
      <c r="C9" s="1" t="s">
        <v>18</v>
      </c>
      <c r="D9" s="1">
        <v>242</v>
      </c>
      <c r="E9" s="1">
        <v>0</v>
      </c>
      <c r="F9" s="1">
        <v>242</v>
      </c>
      <c r="G9" s="1">
        <v>0.14000000000000001</v>
      </c>
      <c r="H9" s="1">
        <v>1</v>
      </c>
      <c r="K9" s="1">
        <v>6</v>
      </c>
      <c r="L9" s="1" t="str">
        <f>VLOOKUP(K9,Table1[],2,0)</f>
        <v>BUDIYA</v>
      </c>
      <c r="M9" s="1" t="str">
        <f>VLOOKUP(K9,Table1[],3,0)</f>
        <v>Independent</v>
      </c>
      <c r="N9" s="1">
        <f>VLOOKUP(K9,Table1[],6,0)</f>
        <v>242</v>
      </c>
      <c r="U9" s="25">
        <v>6</v>
      </c>
      <c r="V9" s="26"/>
      <c r="W9" s="27">
        <v>1</v>
      </c>
      <c r="X9" s="27" t="s">
        <v>98</v>
      </c>
      <c r="Y9" s="28" t="s">
        <v>782</v>
      </c>
      <c r="Z9" s="27">
        <v>103950</v>
      </c>
      <c r="AA9" s="27">
        <v>421</v>
      </c>
      <c r="AB9" s="27">
        <v>104371</v>
      </c>
      <c r="AC9" s="29">
        <v>55.76</v>
      </c>
    </row>
    <row r="10" spans="1:29" x14ac:dyDescent="0.5">
      <c r="A10" s="1">
        <v>7</v>
      </c>
      <c r="B10" s="1" t="s">
        <v>19</v>
      </c>
      <c r="C10" s="1" t="s">
        <v>18</v>
      </c>
      <c r="D10" s="1">
        <v>300</v>
      </c>
      <c r="E10" s="1">
        <v>1</v>
      </c>
      <c r="F10" s="1">
        <v>301</v>
      </c>
      <c r="G10" s="1">
        <v>0.17</v>
      </c>
      <c r="H10" s="1">
        <v>1</v>
      </c>
      <c r="K10" s="13">
        <v>7</v>
      </c>
      <c r="L10" s="1" t="str">
        <f>VLOOKUP(K10,Table1[],2,0)</f>
        <v>VIKAS BHARDWAJ</v>
      </c>
      <c r="M10" s="1" t="str">
        <f>VLOOKUP(K10,Table1[],3,0)</f>
        <v>Independent</v>
      </c>
      <c r="N10" s="1">
        <f>VLOOKUP(K10,Table1[],6,0)</f>
        <v>301</v>
      </c>
      <c r="U10" s="25">
        <v>7</v>
      </c>
      <c r="V10" s="26"/>
      <c r="W10" s="27">
        <v>2</v>
      </c>
      <c r="X10" s="27" t="s">
        <v>113</v>
      </c>
      <c r="Y10" s="28" t="s">
        <v>782</v>
      </c>
      <c r="Z10" s="27">
        <v>118746</v>
      </c>
      <c r="AA10" s="27">
        <v>769</v>
      </c>
      <c r="AB10" s="27">
        <v>119515</v>
      </c>
      <c r="AC10" s="29">
        <v>52</v>
      </c>
    </row>
    <row r="11" spans="1:29" x14ac:dyDescent="0.5">
      <c r="A11" s="1">
        <v>8</v>
      </c>
      <c r="B11" s="1" t="s">
        <v>20</v>
      </c>
      <c r="C11" s="1" t="s">
        <v>21</v>
      </c>
      <c r="D11" s="1">
        <v>973</v>
      </c>
      <c r="E11" s="1">
        <v>8</v>
      </c>
      <c r="F11" s="1">
        <v>981</v>
      </c>
      <c r="G11" s="1">
        <v>0.56000000000000005</v>
      </c>
      <c r="H11" s="1">
        <v>1</v>
      </c>
      <c r="K11" s="1">
        <v>8</v>
      </c>
      <c r="L11" s="1" t="str">
        <f>VLOOKUP(K11,Table1[],2,0)</f>
        <v>NOTA</v>
      </c>
      <c r="M11" s="1" t="str">
        <f>VLOOKUP(K11,Table1[],3,0)</f>
        <v>None of the Above</v>
      </c>
      <c r="N11" s="1">
        <f>VLOOKUP(K11,Table1[],6,0)</f>
        <v>981</v>
      </c>
      <c r="U11" s="25">
        <v>8</v>
      </c>
      <c r="V11" s="26"/>
      <c r="W11" s="27">
        <v>1</v>
      </c>
      <c r="X11" s="27" t="s">
        <v>119</v>
      </c>
      <c r="Y11" s="28" t="s">
        <v>782</v>
      </c>
      <c r="Z11" s="27">
        <v>89128</v>
      </c>
      <c r="AA11" s="27">
        <v>711</v>
      </c>
      <c r="AB11" s="27">
        <v>89839</v>
      </c>
      <c r="AC11" s="29">
        <v>47.07</v>
      </c>
    </row>
    <row r="12" spans="1:29" x14ac:dyDescent="0.5">
      <c r="A12" s="1">
        <v>1</v>
      </c>
      <c r="B12" s="1" t="s">
        <v>22</v>
      </c>
      <c r="C12" s="1" t="s">
        <v>23</v>
      </c>
      <c r="D12" s="1">
        <v>2193</v>
      </c>
      <c r="E12" s="1">
        <v>21</v>
      </c>
      <c r="F12" s="1">
        <v>2214</v>
      </c>
      <c r="G12" s="1">
        <v>0.87</v>
      </c>
      <c r="H12" s="1">
        <v>2</v>
      </c>
      <c r="K12" s="13">
        <v>1</v>
      </c>
      <c r="L12" s="1" t="str">
        <f>VLOOKUP(K12,Table1[],2,0)</f>
        <v>ARUNA</v>
      </c>
      <c r="M12" s="1" t="str">
        <f>VLOOKUP(K12,Table1[],3,0)</f>
        <v>Indian National Congress</v>
      </c>
      <c r="N12" s="1">
        <f>VLOOKUP(K12,Table1[],6,0)</f>
        <v>6782</v>
      </c>
      <c r="U12" s="30">
        <v>9</v>
      </c>
      <c r="V12" s="26"/>
      <c r="W12" s="31">
        <v>1</v>
      </c>
      <c r="X12" s="31" t="s">
        <v>135</v>
      </c>
      <c r="Y12" s="31" t="s">
        <v>12</v>
      </c>
      <c r="Z12" s="31">
        <v>105660</v>
      </c>
      <c r="AA12" s="31">
        <v>120</v>
      </c>
      <c r="AB12" s="31">
        <v>105780</v>
      </c>
      <c r="AC12" s="32">
        <v>52.26</v>
      </c>
    </row>
    <row r="13" spans="1:29" x14ac:dyDescent="0.5">
      <c r="A13" s="1">
        <v>2</v>
      </c>
      <c r="B13" s="1" t="s">
        <v>24</v>
      </c>
      <c r="C13" s="1" t="s">
        <v>9</v>
      </c>
      <c r="D13" s="1">
        <v>19808</v>
      </c>
      <c r="E13" s="1">
        <v>112</v>
      </c>
      <c r="F13" s="1">
        <v>19920</v>
      </c>
      <c r="G13" s="1">
        <v>7.82</v>
      </c>
      <c r="H13" s="1">
        <v>2</v>
      </c>
      <c r="K13" s="1">
        <v>2</v>
      </c>
      <c r="L13" s="1" t="str">
        <f>VLOOKUP(K13,Table1[],2,0)</f>
        <v>RAJ KARAN KHATRI</v>
      </c>
      <c r="M13" s="1" t="str">
        <f>VLOOKUP(K13,Table1[],3,0)</f>
        <v>Bhartiya Janta Party</v>
      </c>
      <c r="N13" s="1">
        <f>VLOOKUP(K13,Table1[],6,0)</f>
        <v>87215</v>
      </c>
      <c r="U13" s="30">
        <v>10</v>
      </c>
      <c r="V13" s="26"/>
      <c r="W13" s="31">
        <v>4</v>
      </c>
      <c r="X13" s="31" t="s">
        <v>148</v>
      </c>
      <c r="Y13" s="31" t="s">
        <v>12</v>
      </c>
      <c r="Z13" s="31">
        <v>58687</v>
      </c>
      <c r="AA13" s="31">
        <v>80</v>
      </c>
      <c r="AB13" s="31">
        <v>58767</v>
      </c>
      <c r="AC13" s="32">
        <v>52.09</v>
      </c>
    </row>
    <row r="14" spans="1:29" x14ac:dyDescent="0.5">
      <c r="A14" s="18">
        <v>3</v>
      </c>
      <c r="B14" s="18" t="s">
        <v>25</v>
      </c>
      <c r="C14" s="18" t="s">
        <v>12</v>
      </c>
      <c r="D14" s="18">
        <v>120813</v>
      </c>
      <c r="E14" s="18">
        <v>368</v>
      </c>
      <c r="F14" s="18">
        <v>121181</v>
      </c>
      <c r="G14" s="18">
        <v>47.57</v>
      </c>
      <c r="H14" s="18">
        <v>2</v>
      </c>
      <c r="K14" s="13">
        <v>3</v>
      </c>
      <c r="L14" s="1" t="str">
        <f>VLOOKUP(K14,Table1[],2,0)</f>
        <v>SHARAD KUMAR</v>
      </c>
      <c r="M14" s="1" t="str">
        <f>VLOOKUP(K14,Table1[],3,0)</f>
        <v>Aam Aadmi Party</v>
      </c>
      <c r="N14" s="1">
        <f>VLOOKUP(K14,Table1[],6,0)</f>
        <v>78619</v>
      </c>
      <c r="U14" s="25">
        <v>11</v>
      </c>
      <c r="V14" s="26"/>
      <c r="W14" s="27">
        <v>1</v>
      </c>
      <c r="X14" s="27" t="s">
        <v>159</v>
      </c>
      <c r="Y14" s="28" t="s">
        <v>782</v>
      </c>
      <c r="Z14" s="27">
        <v>74950</v>
      </c>
      <c r="AA14" s="27">
        <v>322</v>
      </c>
      <c r="AB14" s="27">
        <v>75272</v>
      </c>
      <c r="AC14" s="29">
        <v>47.25</v>
      </c>
    </row>
    <row r="15" spans="1:29" x14ac:dyDescent="0.5">
      <c r="A15" s="1">
        <v>4</v>
      </c>
      <c r="B15" s="1" t="s">
        <v>26</v>
      </c>
      <c r="C15" s="1" t="s">
        <v>27</v>
      </c>
      <c r="D15" s="1">
        <v>866</v>
      </c>
      <c r="E15" s="1">
        <v>3</v>
      </c>
      <c r="F15" s="1">
        <v>869</v>
      </c>
      <c r="G15" s="1">
        <v>0.34</v>
      </c>
      <c r="H15" s="1">
        <v>2</v>
      </c>
      <c r="K15" s="1">
        <v>4</v>
      </c>
      <c r="L15" s="1" t="str">
        <f>VLOOKUP(K15,Table1[],2,0)</f>
        <v>ANIL KUMAR SINGH</v>
      </c>
      <c r="M15" s="1" t="str">
        <f>VLOOKUP(K15,Table1[],3,0)</f>
        <v>Communist Party of India  (Marxist-Leninist)  (Liberation)</v>
      </c>
      <c r="N15" s="1">
        <f>VLOOKUP(K15,Table1[],6,0)</f>
        <v>328</v>
      </c>
      <c r="U15" s="25">
        <v>12</v>
      </c>
      <c r="V15" s="26"/>
      <c r="W15" s="27">
        <v>3</v>
      </c>
      <c r="X15" s="27" t="s">
        <v>170</v>
      </c>
      <c r="Y15" s="28" t="s">
        <v>782</v>
      </c>
      <c r="Z15" s="27">
        <v>61805</v>
      </c>
      <c r="AA15" s="27">
        <v>202</v>
      </c>
      <c r="AB15" s="27">
        <v>62007</v>
      </c>
      <c r="AC15" s="29">
        <v>50.23</v>
      </c>
    </row>
    <row r="16" spans="1:29" x14ac:dyDescent="0.5">
      <c r="A16" s="1">
        <v>5</v>
      </c>
      <c r="B16" s="1" t="s">
        <v>28</v>
      </c>
      <c r="C16" s="1" t="s">
        <v>29</v>
      </c>
      <c r="D16" s="1">
        <v>530</v>
      </c>
      <c r="E16" s="1">
        <v>1</v>
      </c>
      <c r="F16" s="1">
        <v>531</v>
      </c>
      <c r="G16" s="1">
        <v>0.21</v>
      </c>
      <c r="H16" s="1">
        <v>2</v>
      </c>
      <c r="K16" s="13">
        <v>5</v>
      </c>
      <c r="L16" s="1" t="str">
        <f>VLOOKUP(K16,Table1[],2,0)</f>
        <v>MD KHALID</v>
      </c>
      <c r="M16" s="1" t="str">
        <f>VLOOKUP(K16,Table1[],3,0)</f>
        <v>Aazad Samaj Party (Kanshi Ram)</v>
      </c>
      <c r="N16" s="1">
        <f>VLOOKUP(K16,Table1[],6,0)</f>
        <v>278</v>
      </c>
      <c r="U16" s="25">
        <v>13</v>
      </c>
      <c r="V16" s="26"/>
      <c r="W16" s="27">
        <v>2</v>
      </c>
      <c r="X16" s="27" t="s">
        <v>176</v>
      </c>
      <c r="Y16" s="28" t="s">
        <v>782</v>
      </c>
      <c r="Z16" s="27">
        <v>69890</v>
      </c>
      <c r="AA16" s="27">
        <v>475</v>
      </c>
      <c r="AB16" s="27">
        <v>70365</v>
      </c>
      <c r="AC16" s="29">
        <v>65.010000000000005</v>
      </c>
    </row>
    <row r="17" spans="1:29" x14ac:dyDescent="0.5">
      <c r="A17" s="1">
        <v>6</v>
      </c>
      <c r="B17" s="1" t="s">
        <v>30</v>
      </c>
      <c r="C17" s="1" t="s">
        <v>31</v>
      </c>
      <c r="D17" s="1">
        <v>318</v>
      </c>
      <c r="E17" s="1">
        <v>0</v>
      </c>
      <c r="F17" s="1">
        <v>318</v>
      </c>
      <c r="G17" s="1">
        <v>0.12</v>
      </c>
      <c r="H17" s="1">
        <v>2</v>
      </c>
      <c r="K17" s="1">
        <v>6</v>
      </c>
      <c r="L17" s="1" t="str">
        <f>VLOOKUP(K17,Table1[],2,0)</f>
        <v>BUDIYA</v>
      </c>
      <c r="M17" s="1" t="str">
        <f>VLOOKUP(K17,Table1[],3,0)</f>
        <v>Independent</v>
      </c>
      <c r="N17" s="1">
        <f>VLOOKUP(K17,Table1[],6,0)</f>
        <v>242</v>
      </c>
      <c r="U17" s="25">
        <v>14</v>
      </c>
      <c r="V17" s="26"/>
      <c r="W17" s="27">
        <v>3</v>
      </c>
      <c r="X17" s="27" t="s">
        <v>185</v>
      </c>
      <c r="Y17" s="28" t="s">
        <v>782</v>
      </c>
      <c r="Z17" s="27">
        <v>67839</v>
      </c>
      <c r="AA17" s="27">
        <v>361</v>
      </c>
      <c r="AB17" s="27">
        <v>68200</v>
      </c>
      <c r="AC17" s="29">
        <v>59.95</v>
      </c>
    </row>
    <row r="18" spans="1:29" x14ac:dyDescent="0.5">
      <c r="A18" s="1">
        <v>7</v>
      </c>
      <c r="B18" s="1" t="s">
        <v>32</v>
      </c>
      <c r="C18" s="1" t="s">
        <v>33</v>
      </c>
      <c r="D18" s="1">
        <v>224</v>
      </c>
      <c r="E18" s="1">
        <v>0</v>
      </c>
      <c r="F18" s="1">
        <v>224</v>
      </c>
      <c r="G18" s="1">
        <v>0.09</v>
      </c>
      <c r="H18" s="1">
        <v>2</v>
      </c>
      <c r="K18" s="13">
        <v>7</v>
      </c>
      <c r="L18" s="1" t="str">
        <f>VLOOKUP(K18,Table1[],2,0)</f>
        <v>VIKAS BHARDWAJ</v>
      </c>
      <c r="M18" s="1" t="str">
        <f>VLOOKUP(K18,Table1[],3,0)</f>
        <v>Independent</v>
      </c>
      <c r="N18" s="1">
        <f>VLOOKUP(K18,Table1[],6,0)</f>
        <v>301</v>
      </c>
      <c r="U18" s="25">
        <v>15</v>
      </c>
      <c r="V18" s="26"/>
      <c r="W18" s="27">
        <v>1</v>
      </c>
      <c r="X18" s="27" t="s">
        <v>193</v>
      </c>
      <c r="Y18" s="28" t="s">
        <v>782</v>
      </c>
      <c r="Z18" s="27">
        <v>56570</v>
      </c>
      <c r="AA18" s="27">
        <v>299</v>
      </c>
      <c r="AB18" s="27">
        <v>56869</v>
      </c>
      <c r="AC18" s="29">
        <v>57.07</v>
      </c>
    </row>
    <row r="19" spans="1:29" x14ac:dyDescent="0.5">
      <c r="A19" s="1">
        <v>8</v>
      </c>
      <c r="B19" s="1" t="s">
        <v>34</v>
      </c>
      <c r="C19" s="1" t="s">
        <v>35</v>
      </c>
      <c r="D19" s="1">
        <v>315</v>
      </c>
      <c r="E19" s="1">
        <v>0</v>
      </c>
      <c r="F19" s="1">
        <v>315</v>
      </c>
      <c r="G19" s="1">
        <v>0.12</v>
      </c>
      <c r="H19" s="1">
        <v>2</v>
      </c>
      <c r="K19" s="1">
        <v>8</v>
      </c>
      <c r="L19" s="1" t="str">
        <f>VLOOKUP(K19,Table1[],2,0)</f>
        <v>NOTA</v>
      </c>
      <c r="M19" s="1" t="str">
        <f>VLOOKUP(K19,Table1[],3,0)</f>
        <v>None of the Above</v>
      </c>
      <c r="N19" s="1">
        <f>VLOOKUP(K19,Table1[],6,0)</f>
        <v>981</v>
      </c>
      <c r="U19" s="25">
        <v>16</v>
      </c>
      <c r="V19" s="26"/>
      <c r="W19" s="27">
        <v>1</v>
      </c>
      <c r="X19" s="27" t="s">
        <v>201</v>
      </c>
      <c r="Y19" s="28" t="s">
        <v>782</v>
      </c>
      <c r="Z19" s="27">
        <v>58836</v>
      </c>
      <c r="AA19" s="27">
        <v>237</v>
      </c>
      <c r="AB19" s="27">
        <v>59073</v>
      </c>
      <c r="AC19" s="29">
        <v>53.36</v>
      </c>
    </row>
    <row r="20" spans="1:29" x14ac:dyDescent="0.5">
      <c r="A20" s="1">
        <v>9</v>
      </c>
      <c r="B20" s="1" t="s">
        <v>36</v>
      </c>
      <c r="C20" s="1" t="s">
        <v>37</v>
      </c>
      <c r="D20" s="1">
        <v>284</v>
      </c>
      <c r="E20" s="1">
        <v>4</v>
      </c>
      <c r="F20" s="1">
        <v>288</v>
      </c>
      <c r="G20" s="1">
        <v>0.11</v>
      </c>
      <c r="H20" s="1">
        <v>2</v>
      </c>
      <c r="K20" s="13">
        <v>9</v>
      </c>
      <c r="L20" s="1" t="str">
        <f>VLOOKUP(K20,Table1[],2,0)</f>
        <v>MUKESH PRASAD</v>
      </c>
      <c r="M20" s="1" t="str">
        <f>VLOOKUP(K20,Table1[],3,0)</f>
        <v>Bhartiya Janta Dal (Integrated)</v>
      </c>
      <c r="N20" s="1">
        <f>VLOOKUP(K20,Table1[],6,0)</f>
        <v>288</v>
      </c>
      <c r="U20" s="25">
        <v>17</v>
      </c>
      <c r="V20" s="26"/>
      <c r="W20" s="27">
        <v>1</v>
      </c>
      <c r="X20" s="27" t="s">
        <v>207</v>
      </c>
      <c r="Y20" s="28" t="s">
        <v>782</v>
      </c>
      <c r="Z20" s="27">
        <v>54414</v>
      </c>
      <c r="AA20" s="27">
        <v>307</v>
      </c>
      <c r="AB20" s="27">
        <v>54721</v>
      </c>
      <c r="AC20" s="29">
        <v>51.24</v>
      </c>
    </row>
    <row r="21" spans="1:29" x14ac:dyDescent="0.5">
      <c r="A21" s="1">
        <v>10</v>
      </c>
      <c r="B21" s="1" t="s">
        <v>38</v>
      </c>
      <c r="C21" s="1" t="s">
        <v>39</v>
      </c>
      <c r="D21" s="1">
        <v>3829</v>
      </c>
      <c r="E21" s="1">
        <v>23</v>
      </c>
      <c r="F21" s="1">
        <v>3852</v>
      </c>
      <c r="G21" s="1">
        <v>1.51</v>
      </c>
      <c r="H21" s="1">
        <v>2</v>
      </c>
      <c r="K21" s="1">
        <v>10</v>
      </c>
      <c r="L21" s="1" t="str">
        <f>VLOOKUP(K21,Table1[],2,0)</f>
        <v>RATAN TYAGI</v>
      </c>
      <c r="M21" s="1" t="str">
        <f>VLOOKUP(K21,Table1[],3,0)</f>
        <v>Nationalist Congress Party</v>
      </c>
      <c r="N21" s="1">
        <f>VLOOKUP(K21,Table1[],6,0)</f>
        <v>3852</v>
      </c>
      <c r="U21" s="25">
        <v>18</v>
      </c>
      <c r="V21" s="26"/>
      <c r="W21" s="27">
        <v>2</v>
      </c>
      <c r="X21" s="27" t="s">
        <v>217</v>
      </c>
      <c r="Y21" s="28" t="s">
        <v>782</v>
      </c>
      <c r="Z21" s="27">
        <v>51848</v>
      </c>
      <c r="AA21" s="27">
        <v>260</v>
      </c>
      <c r="AB21" s="27">
        <v>52108</v>
      </c>
      <c r="AC21" s="29">
        <v>54.1</v>
      </c>
    </row>
    <row r="22" spans="1:29" x14ac:dyDescent="0.5">
      <c r="A22" s="1">
        <v>11</v>
      </c>
      <c r="B22" s="1" t="s">
        <v>40</v>
      </c>
      <c r="C22" s="1" t="s">
        <v>41</v>
      </c>
      <c r="D22" s="1">
        <v>589</v>
      </c>
      <c r="E22" s="1">
        <v>0</v>
      </c>
      <c r="F22" s="1">
        <v>589</v>
      </c>
      <c r="G22" s="1">
        <v>0.23</v>
      </c>
      <c r="H22" s="1">
        <v>2</v>
      </c>
      <c r="K22" s="13">
        <v>11</v>
      </c>
      <c r="L22" s="1" t="str">
        <f>VLOOKUP(K22,Table1[],2,0)</f>
        <v>VIJAY KUMAR JHA</v>
      </c>
      <c r="M22" s="1" t="str">
        <f>VLOOKUP(K22,Table1[],3,0)</f>
        <v>Rachnatmak Jan Morcha</v>
      </c>
      <c r="N22" s="1">
        <f>VLOOKUP(K22,Table1[],6,0)</f>
        <v>589</v>
      </c>
      <c r="U22" s="30">
        <v>19</v>
      </c>
      <c r="V22" s="26"/>
      <c r="W22" s="31">
        <v>4</v>
      </c>
      <c r="X22" s="31" t="s">
        <v>229</v>
      </c>
      <c r="Y22" s="31" t="s">
        <v>12</v>
      </c>
      <c r="Z22" s="31">
        <v>56070</v>
      </c>
      <c r="AA22" s="31">
        <v>107</v>
      </c>
      <c r="AB22" s="31">
        <v>56177</v>
      </c>
      <c r="AC22" s="32">
        <v>47.45</v>
      </c>
    </row>
    <row r="23" spans="1:29" x14ac:dyDescent="0.5">
      <c r="A23" s="1">
        <v>12</v>
      </c>
      <c r="B23" s="1" t="s">
        <v>42</v>
      </c>
      <c r="C23" s="1" t="s">
        <v>43</v>
      </c>
      <c r="D23" s="1">
        <v>99943</v>
      </c>
      <c r="E23" s="1">
        <v>637</v>
      </c>
      <c r="F23" s="1">
        <v>100580</v>
      </c>
      <c r="G23" s="1">
        <v>39.479999999999997</v>
      </c>
      <c r="H23" s="1">
        <v>2</v>
      </c>
      <c r="K23" s="1">
        <v>12</v>
      </c>
      <c r="L23" s="1" t="str">
        <f>VLOOKUP(K23,Table1[],2,0)</f>
        <v>SHAILENDRA KUMAR</v>
      </c>
      <c r="M23" s="1" t="str">
        <f>VLOOKUP(K23,Table1[],3,0)</f>
        <v>Janata Dal  (United)</v>
      </c>
      <c r="N23" s="1">
        <f>VLOOKUP(K23,Table1[],6,0)</f>
        <v>100580</v>
      </c>
      <c r="U23" s="30">
        <v>20</v>
      </c>
      <c r="V23" s="26"/>
      <c r="W23" s="31">
        <v>2</v>
      </c>
      <c r="X23" s="31" t="s">
        <v>242</v>
      </c>
      <c r="Y23" s="31" t="s">
        <v>12</v>
      </c>
      <c r="Z23" s="31">
        <v>38932</v>
      </c>
      <c r="AA23" s="31">
        <v>61</v>
      </c>
      <c r="AB23" s="31">
        <v>38993</v>
      </c>
      <c r="AC23" s="32">
        <v>54.79</v>
      </c>
    </row>
    <row r="24" spans="1:29" x14ac:dyDescent="0.5">
      <c r="A24" s="1">
        <v>13</v>
      </c>
      <c r="B24" s="1" t="s">
        <v>44</v>
      </c>
      <c r="C24" s="1" t="s">
        <v>45</v>
      </c>
      <c r="D24" s="1">
        <v>568</v>
      </c>
      <c r="E24" s="1">
        <v>1</v>
      </c>
      <c r="F24" s="1">
        <v>569</v>
      </c>
      <c r="G24" s="1">
        <v>0.22</v>
      </c>
      <c r="H24" s="1">
        <v>2</v>
      </c>
      <c r="K24" s="13">
        <v>13</v>
      </c>
      <c r="L24" s="1" t="str">
        <f>VLOOKUP(K24,Table1[],2,0)</f>
        <v>SUNIL KUMAR VYATHIT</v>
      </c>
      <c r="M24" s="1" t="str">
        <f>VLOOKUP(K24,Table1[],3,0)</f>
        <v>Aam Aadmi Sangharsh Party (S)</v>
      </c>
      <c r="N24" s="1">
        <f>VLOOKUP(K24,Table1[],6,0)</f>
        <v>569</v>
      </c>
      <c r="U24" s="30">
        <v>21</v>
      </c>
      <c r="V24" s="26"/>
      <c r="W24" s="31">
        <v>1</v>
      </c>
      <c r="X24" s="31" t="s">
        <v>248</v>
      </c>
      <c r="Y24" s="31" t="s">
        <v>12</v>
      </c>
      <c r="Z24" s="31">
        <v>58041</v>
      </c>
      <c r="AA24" s="31">
        <v>79</v>
      </c>
      <c r="AB24" s="31">
        <v>58120</v>
      </c>
      <c r="AC24" s="32">
        <v>68.8</v>
      </c>
    </row>
    <row r="25" spans="1:29" x14ac:dyDescent="0.5">
      <c r="A25" s="1">
        <v>14</v>
      </c>
      <c r="B25" s="1" t="s">
        <v>46</v>
      </c>
      <c r="C25" s="1" t="s">
        <v>47</v>
      </c>
      <c r="D25" s="1">
        <v>738</v>
      </c>
      <c r="E25" s="1">
        <v>1</v>
      </c>
      <c r="F25" s="1">
        <v>739</v>
      </c>
      <c r="G25" s="1">
        <v>0.28999999999999998</v>
      </c>
      <c r="H25" s="1">
        <v>2</v>
      </c>
      <c r="K25" s="1">
        <v>14</v>
      </c>
      <c r="L25" s="1" t="str">
        <f>VLOOKUP(K25,Table1[],2,0)</f>
        <v>SONU KAUSHIK</v>
      </c>
      <c r="M25" s="1" t="str">
        <f>VLOOKUP(K25,Table1[],3,0)</f>
        <v>Aapki Apni Party (Peoples)</v>
      </c>
      <c r="N25" s="1">
        <f>VLOOKUP(K25,Table1[],6,0)</f>
        <v>739</v>
      </c>
      <c r="U25" s="30">
        <v>22</v>
      </c>
      <c r="V25" s="26"/>
      <c r="W25" s="31">
        <v>1</v>
      </c>
      <c r="X25" s="31" t="s">
        <v>259</v>
      </c>
      <c r="Y25" s="31" t="s">
        <v>12</v>
      </c>
      <c r="Z25" s="31">
        <v>56932</v>
      </c>
      <c r="AA25" s="31">
        <v>72</v>
      </c>
      <c r="AB25" s="31">
        <v>57004</v>
      </c>
      <c r="AC25" s="32">
        <v>58</v>
      </c>
    </row>
    <row r="26" spans="1:29" x14ac:dyDescent="0.5">
      <c r="A26" s="1">
        <v>15</v>
      </c>
      <c r="B26" s="1" t="s">
        <v>20</v>
      </c>
      <c r="C26" s="1" t="s">
        <v>21</v>
      </c>
      <c r="D26" s="1">
        <v>2530</v>
      </c>
      <c r="E26" s="1">
        <v>18</v>
      </c>
      <c r="F26" s="1">
        <v>2548</v>
      </c>
      <c r="G26" s="1">
        <v>1</v>
      </c>
      <c r="H26" s="1">
        <v>2</v>
      </c>
      <c r="K26" s="13">
        <v>15</v>
      </c>
      <c r="L26" s="1" t="str">
        <f>VLOOKUP(K26,Table1[],2,0)</f>
        <v>NOTA</v>
      </c>
      <c r="M26" s="1" t="str">
        <f>VLOOKUP(K26,Table1[],3,0)</f>
        <v>None of the Above</v>
      </c>
      <c r="N26" s="1">
        <f>VLOOKUP(K26,Table1[],6,0)</f>
        <v>2548</v>
      </c>
      <c r="U26" s="30">
        <v>23</v>
      </c>
      <c r="V26" s="26"/>
      <c r="W26" s="31">
        <v>4</v>
      </c>
      <c r="X26" s="31" t="s">
        <v>271</v>
      </c>
      <c r="Y26" s="31" t="s">
        <v>12</v>
      </c>
      <c r="Z26" s="31">
        <v>52153</v>
      </c>
      <c r="AA26" s="31">
        <v>144</v>
      </c>
      <c r="AB26" s="31">
        <v>52297</v>
      </c>
      <c r="AC26" s="32">
        <v>50.88</v>
      </c>
    </row>
    <row r="27" spans="1:29" x14ac:dyDescent="0.5">
      <c r="A27" s="1">
        <v>1</v>
      </c>
      <c r="B27" s="1" t="s">
        <v>48</v>
      </c>
      <c r="C27" s="1" t="s">
        <v>9</v>
      </c>
      <c r="D27" s="1">
        <v>8313</v>
      </c>
      <c r="E27" s="1">
        <v>48</v>
      </c>
      <c r="F27" s="1">
        <v>8361</v>
      </c>
      <c r="G27" s="1">
        <v>6.88</v>
      </c>
      <c r="H27" s="1">
        <v>3</v>
      </c>
      <c r="U27" s="25">
        <v>25</v>
      </c>
      <c r="V27" s="26"/>
      <c r="W27" s="27">
        <v>4</v>
      </c>
      <c r="X27" s="27" t="s">
        <v>282</v>
      </c>
      <c r="Y27" s="27" t="s">
        <v>782</v>
      </c>
      <c r="Z27" s="27">
        <v>57364</v>
      </c>
      <c r="AA27" s="27">
        <v>201</v>
      </c>
      <c r="AB27" s="27">
        <v>57565</v>
      </c>
      <c r="AC27" s="29">
        <v>52.64</v>
      </c>
    </row>
    <row r="28" spans="1:29" x14ac:dyDescent="0.5">
      <c r="A28" s="1">
        <v>2</v>
      </c>
      <c r="B28" s="1" t="s">
        <v>49</v>
      </c>
      <c r="C28" s="1" t="s">
        <v>12</v>
      </c>
      <c r="D28" s="1">
        <v>54602</v>
      </c>
      <c r="E28" s="1">
        <v>171</v>
      </c>
      <c r="F28" s="1">
        <v>54773</v>
      </c>
      <c r="G28" s="1">
        <v>45.07</v>
      </c>
      <c r="H28" s="1">
        <v>3</v>
      </c>
      <c r="U28" s="25">
        <v>26</v>
      </c>
      <c r="V28" s="26"/>
      <c r="W28" s="27">
        <v>1</v>
      </c>
      <c r="X28" s="27" t="s">
        <v>292</v>
      </c>
      <c r="Y28" s="27" t="s">
        <v>782</v>
      </c>
      <c r="Z28" s="27">
        <v>51824</v>
      </c>
      <c r="AA28" s="27">
        <v>195</v>
      </c>
      <c r="AB28" s="27">
        <v>52019</v>
      </c>
      <c r="AC28" s="29">
        <v>46.08</v>
      </c>
    </row>
    <row r="29" spans="1:29" x14ac:dyDescent="0.5">
      <c r="A29" s="1">
        <v>3</v>
      </c>
      <c r="B29" s="1" t="s">
        <v>50</v>
      </c>
      <c r="C29" s="1" t="s">
        <v>23</v>
      </c>
      <c r="D29" s="1">
        <v>976</v>
      </c>
      <c r="E29" s="1">
        <v>9</v>
      </c>
      <c r="F29" s="1">
        <v>985</v>
      </c>
      <c r="G29" s="1">
        <v>0.81</v>
      </c>
      <c r="H29" s="1">
        <v>3</v>
      </c>
      <c r="U29" s="25">
        <v>27</v>
      </c>
      <c r="V29" s="26"/>
      <c r="W29" s="27">
        <v>3</v>
      </c>
      <c r="X29" s="27" t="s">
        <v>304</v>
      </c>
      <c r="Y29" s="27" t="s">
        <v>782</v>
      </c>
      <c r="Z29" s="27">
        <v>63883</v>
      </c>
      <c r="AA29" s="27">
        <v>249</v>
      </c>
      <c r="AB29" s="27">
        <v>64132</v>
      </c>
      <c r="AC29" s="29">
        <v>55.86</v>
      </c>
    </row>
    <row r="30" spans="1:29" x14ac:dyDescent="0.5">
      <c r="A30" s="16">
        <v>4</v>
      </c>
      <c r="B30" s="16" t="s">
        <v>51</v>
      </c>
      <c r="C30" s="17" t="s">
        <v>782</v>
      </c>
      <c r="D30" s="16">
        <v>55626</v>
      </c>
      <c r="E30" s="16">
        <v>315</v>
      </c>
      <c r="F30" s="16">
        <v>55941</v>
      </c>
      <c r="G30" s="16">
        <v>46.03</v>
      </c>
      <c r="H30" s="16">
        <v>3</v>
      </c>
      <c r="U30" s="25">
        <v>28</v>
      </c>
      <c r="V30" s="26"/>
      <c r="W30" s="27">
        <v>3</v>
      </c>
      <c r="X30" s="27" t="s">
        <v>313</v>
      </c>
      <c r="Y30" s="27" t="s">
        <v>782</v>
      </c>
      <c r="Z30" s="27">
        <v>49608</v>
      </c>
      <c r="AA30" s="27">
        <v>571</v>
      </c>
      <c r="AB30" s="27">
        <v>50179</v>
      </c>
      <c r="AC30" s="29">
        <v>48.7</v>
      </c>
    </row>
    <row r="31" spans="1:29" x14ac:dyDescent="0.5">
      <c r="A31" s="1">
        <v>5</v>
      </c>
      <c r="B31" s="1" t="s">
        <v>52</v>
      </c>
      <c r="C31" s="1" t="s">
        <v>53</v>
      </c>
      <c r="D31" s="1">
        <v>165</v>
      </c>
      <c r="E31" s="1">
        <v>2</v>
      </c>
      <c r="F31" s="1">
        <v>167</v>
      </c>
      <c r="G31" s="1">
        <v>0.14000000000000001</v>
      </c>
      <c r="H31" s="1">
        <v>3</v>
      </c>
      <c r="U31" s="30">
        <v>29</v>
      </c>
      <c r="V31" s="26"/>
      <c r="W31" s="31">
        <v>2</v>
      </c>
      <c r="X31" s="31" t="s">
        <v>322</v>
      </c>
      <c r="Y31" s="31" t="s">
        <v>12</v>
      </c>
      <c r="Z31" s="31">
        <v>51955</v>
      </c>
      <c r="AA31" s="31">
        <v>179</v>
      </c>
      <c r="AB31" s="31">
        <v>52134</v>
      </c>
      <c r="AC31" s="32">
        <v>54.02</v>
      </c>
    </row>
    <row r="32" spans="1:29" x14ac:dyDescent="0.5">
      <c r="A32" s="1">
        <v>6</v>
      </c>
      <c r="B32" s="1" t="s">
        <v>54</v>
      </c>
      <c r="C32" s="1" t="s">
        <v>55</v>
      </c>
      <c r="D32" s="1">
        <v>113</v>
      </c>
      <c r="E32" s="1">
        <v>0</v>
      </c>
      <c r="F32" s="1">
        <v>113</v>
      </c>
      <c r="G32" s="1">
        <v>0.09</v>
      </c>
      <c r="H32" s="1">
        <v>3</v>
      </c>
      <c r="U32" s="25">
        <v>30</v>
      </c>
      <c r="V32" s="26"/>
      <c r="W32" s="27">
        <v>1</v>
      </c>
      <c r="X32" s="27" t="s">
        <v>327</v>
      </c>
      <c r="Y32" s="27" t="s">
        <v>782</v>
      </c>
      <c r="Z32" s="27">
        <v>68564</v>
      </c>
      <c r="AA32" s="27">
        <v>422</v>
      </c>
      <c r="AB32" s="27">
        <v>68986</v>
      </c>
      <c r="AC32" s="29">
        <v>55.27</v>
      </c>
    </row>
    <row r="33" spans="1:29" x14ac:dyDescent="0.5">
      <c r="A33" s="1">
        <v>7</v>
      </c>
      <c r="B33" s="1" t="s">
        <v>56</v>
      </c>
      <c r="C33" s="1" t="s">
        <v>57</v>
      </c>
      <c r="D33" s="1">
        <v>49</v>
      </c>
      <c r="E33" s="1">
        <v>1</v>
      </c>
      <c r="F33" s="1">
        <v>50</v>
      </c>
      <c r="G33" s="1">
        <v>0.04</v>
      </c>
      <c r="H33" s="1">
        <v>3</v>
      </c>
      <c r="U33" s="25">
        <v>31</v>
      </c>
      <c r="V33" s="26"/>
      <c r="W33" s="27">
        <v>3</v>
      </c>
      <c r="X33" s="27" t="s">
        <v>348</v>
      </c>
      <c r="Y33" s="27" t="s">
        <v>782</v>
      </c>
      <c r="Z33" s="27">
        <v>135038</v>
      </c>
      <c r="AA33" s="27">
        <v>526</v>
      </c>
      <c r="AB33" s="27">
        <v>135564</v>
      </c>
      <c r="AC33" s="29">
        <v>49.54</v>
      </c>
    </row>
    <row r="34" spans="1:29" x14ac:dyDescent="0.5">
      <c r="A34" s="1">
        <v>8</v>
      </c>
      <c r="B34" s="1" t="s">
        <v>58</v>
      </c>
      <c r="C34" s="1" t="s">
        <v>27</v>
      </c>
      <c r="D34" s="1">
        <v>90</v>
      </c>
      <c r="E34" s="1">
        <v>1</v>
      </c>
      <c r="F34" s="1">
        <v>91</v>
      </c>
      <c r="G34" s="1">
        <v>7.0000000000000007E-2</v>
      </c>
      <c r="H34" s="1">
        <v>3</v>
      </c>
      <c r="U34" s="25">
        <v>32</v>
      </c>
      <c r="V34" s="26"/>
      <c r="W34" s="27">
        <v>1</v>
      </c>
      <c r="X34" s="27" t="s">
        <v>361</v>
      </c>
      <c r="Y34" s="27" t="s">
        <v>782</v>
      </c>
      <c r="Z34" s="27">
        <v>103137</v>
      </c>
      <c r="AA34" s="27">
        <v>476</v>
      </c>
      <c r="AB34" s="27">
        <v>103613</v>
      </c>
      <c r="AC34" s="29">
        <v>52.84</v>
      </c>
    </row>
    <row r="35" spans="1:29" x14ac:dyDescent="0.5">
      <c r="A35" s="1">
        <v>9</v>
      </c>
      <c r="B35" s="1" t="s">
        <v>59</v>
      </c>
      <c r="C35" s="1" t="s">
        <v>60</v>
      </c>
      <c r="D35" s="1">
        <v>111</v>
      </c>
      <c r="E35" s="1">
        <v>1</v>
      </c>
      <c r="F35" s="1">
        <v>112</v>
      </c>
      <c r="G35" s="1">
        <v>0.09</v>
      </c>
      <c r="H35" s="1">
        <v>3</v>
      </c>
      <c r="U35" s="25">
        <v>33</v>
      </c>
      <c r="V35" s="26"/>
      <c r="W35" s="27">
        <v>3</v>
      </c>
      <c r="X35" s="27" t="s">
        <v>374</v>
      </c>
      <c r="Y35" s="27" t="s">
        <v>782</v>
      </c>
      <c r="Z35" s="27">
        <v>68832</v>
      </c>
      <c r="AA35" s="27">
        <v>305</v>
      </c>
      <c r="AB35" s="27">
        <v>69137</v>
      </c>
      <c r="AC35" s="29">
        <v>49.56</v>
      </c>
    </row>
    <row r="36" spans="1:29" x14ac:dyDescent="0.5">
      <c r="A36" s="1">
        <v>10</v>
      </c>
      <c r="B36" s="1" t="s">
        <v>61</v>
      </c>
      <c r="C36" s="1" t="s">
        <v>29</v>
      </c>
      <c r="D36" s="1">
        <v>109</v>
      </c>
      <c r="E36" s="1">
        <v>0</v>
      </c>
      <c r="F36" s="1">
        <v>109</v>
      </c>
      <c r="G36" s="1">
        <v>0.09</v>
      </c>
      <c r="H36" s="1">
        <v>3</v>
      </c>
      <c r="U36" s="25">
        <v>34</v>
      </c>
      <c r="V36" s="26"/>
      <c r="W36" s="27">
        <v>4</v>
      </c>
      <c r="X36" s="27" t="s">
        <v>390</v>
      </c>
      <c r="Y36" s="27" t="s">
        <v>782</v>
      </c>
      <c r="Z36" s="27">
        <v>144938</v>
      </c>
      <c r="AA36" s="27">
        <v>1357</v>
      </c>
      <c r="AB36" s="27">
        <v>146295</v>
      </c>
      <c r="AC36" s="29">
        <v>52.46</v>
      </c>
    </row>
    <row r="37" spans="1:29" x14ac:dyDescent="0.5">
      <c r="A37" s="1">
        <v>11</v>
      </c>
      <c r="B37" s="1" t="s">
        <v>62</v>
      </c>
      <c r="C37" s="1" t="s">
        <v>63</v>
      </c>
      <c r="D37" s="1">
        <v>69</v>
      </c>
      <c r="E37" s="1">
        <v>0</v>
      </c>
      <c r="F37" s="1">
        <v>69</v>
      </c>
      <c r="G37" s="1">
        <v>0.06</v>
      </c>
      <c r="H37" s="1">
        <v>3</v>
      </c>
      <c r="U37" s="25">
        <v>35</v>
      </c>
      <c r="V37" s="26"/>
      <c r="W37" s="27">
        <v>2</v>
      </c>
      <c r="X37" s="27" t="s">
        <v>401</v>
      </c>
      <c r="Y37" s="27" t="s">
        <v>782</v>
      </c>
      <c r="Z37" s="27">
        <v>100058</v>
      </c>
      <c r="AA37" s="27">
        <v>1650</v>
      </c>
      <c r="AB37" s="27">
        <v>101708</v>
      </c>
      <c r="AC37" s="29">
        <v>56.4</v>
      </c>
    </row>
    <row r="38" spans="1:29" x14ac:dyDescent="0.5">
      <c r="A38" s="1">
        <v>12</v>
      </c>
      <c r="B38" s="1" t="s">
        <v>64</v>
      </c>
      <c r="C38" s="1" t="s">
        <v>31</v>
      </c>
      <c r="D38" s="1">
        <v>107</v>
      </c>
      <c r="E38" s="1">
        <v>0</v>
      </c>
      <c r="F38" s="1">
        <v>107</v>
      </c>
      <c r="G38" s="1">
        <v>0.09</v>
      </c>
      <c r="H38" s="1">
        <v>3</v>
      </c>
      <c r="U38" s="25">
        <v>36</v>
      </c>
      <c r="V38" s="26"/>
      <c r="W38" s="27">
        <v>2</v>
      </c>
      <c r="X38" s="27" t="s">
        <v>410</v>
      </c>
      <c r="Y38" s="27" t="s">
        <v>782</v>
      </c>
      <c r="Z38" s="27">
        <v>64587</v>
      </c>
      <c r="AA38" s="27">
        <v>364</v>
      </c>
      <c r="AB38" s="27">
        <v>64951</v>
      </c>
      <c r="AC38" s="29">
        <v>49.77</v>
      </c>
    </row>
    <row r="39" spans="1:29" x14ac:dyDescent="0.5">
      <c r="A39" s="1">
        <v>13</v>
      </c>
      <c r="B39" s="1" t="s">
        <v>20</v>
      </c>
      <c r="C39" s="1" t="s">
        <v>21</v>
      </c>
      <c r="D39" s="1">
        <v>658</v>
      </c>
      <c r="E39" s="1">
        <v>5</v>
      </c>
      <c r="F39" s="1">
        <v>663</v>
      </c>
      <c r="G39" s="1">
        <v>0.55000000000000004</v>
      </c>
      <c r="H39" s="1">
        <v>3</v>
      </c>
      <c r="U39" s="25">
        <v>37</v>
      </c>
      <c r="V39" s="26"/>
      <c r="W39" s="27">
        <v>1</v>
      </c>
      <c r="X39" s="27" t="s">
        <v>422</v>
      </c>
      <c r="Y39" s="27" t="s">
        <v>782</v>
      </c>
      <c r="Z39" s="27">
        <v>81589</v>
      </c>
      <c r="AA39" s="27">
        <v>457</v>
      </c>
      <c r="AB39" s="27">
        <v>82046</v>
      </c>
      <c r="AC39" s="29">
        <v>50.45</v>
      </c>
    </row>
    <row r="40" spans="1:29" x14ac:dyDescent="0.5">
      <c r="A40" s="1">
        <v>1</v>
      </c>
      <c r="B40" s="1" t="s">
        <v>65</v>
      </c>
      <c r="C40" s="1" t="s">
        <v>23</v>
      </c>
      <c r="D40" s="1">
        <v>343</v>
      </c>
      <c r="E40" s="1">
        <v>1</v>
      </c>
      <c r="F40" s="1">
        <v>344</v>
      </c>
      <c r="G40" s="1">
        <v>0.34</v>
      </c>
      <c r="H40" s="1">
        <v>4</v>
      </c>
      <c r="U40" s="30">
        <v>38</v>
      </c>
      <c r="V40" s="26"/>
      <c r="W40" s="31">
        <v>4</v>
      </c>
      <c r="X40" s="31" t="s">
        <v>432</v>
      </c>
      <c r="Y40" s="31" t="s">
        <v>12</v>
      </c>
      <c r="Z40" s="31">
        <v>22140</v>
      </c>
      <c r="AA40" s="31">
        <v>51</v>
      </c>
      <c r="AB40" s="31">
        <v>22191</v>
      </c>
      <c r="AC40" s="32">
        <v>46.76</v>
      </c>
    </row>
    <row r="41" spans="1:29" x14ac:dyDescent="0.5">
      <c r="A41" s="1">
        <v>2</v>
      </c>
      <c r="B41" s="1" t="s">
        <v>66</v>
      </c>
      <c r="C41" s="1" t="s">
        <v>12</v>
      </c>
      <c r="D41" s="1">
        <v>40941</v>
      </c>
      <c r="E41" s="1">
        <v>87</v>
      </c>
      <c r="F41" s="1">
        <v>41028</v>
      </c>
      <c r="G41" s="1">
        <v>40.840000000000003</v>
      </c>
      <c r="H41" s="1">
        <v>4</v>
      </c>
      <c r="U41" s="25">
        <v>39</v>
      </c>
      <c r="V41" s="26"/>
      <c r="W41" s="27">
        <v>1</v>
      </c>
      <c r="X41" s="27" t="s">
        <v>435</v>
      </c>
      <c r="Y41" s="27" t="s">
        <v>782</v>
      </c>
      <c r="Z41" s="27">
        <v>46391</v>
      </c>
      <c r="AA41" s="27">
        <v>280</v>
      </c>
      <c r="AB41" s="27">
        <v>46671</v>
      </c>
      <c r="AC41" s="29">
        <v>48.01</v>
      </c>
    </row>
    <row r="42" spans="1:29" x14ac:dyDescent="0.5">
      <c r="A42" s="16">
        <v>3</v>
      </c>
      <c r="B42" s="16" t="s">
        <v>67</v>
      </c>
      <c r="C42" s="17" t="s">
        <v>782</v>
      </c>
      <c r="D42" s="16">
        <v>52260</v>
      </c>
      <c r="E42" s="16">
        <v>250</v>
      </c>
      <c r="F42" s="16">
        <v>52510</v>
      </c>
      <c r="G42" s="16">
        <v>52.27</v>
      </c>
      <c r="H42" s="16">
        <v>4</v>
      </c>
      <c r="U42" s="25">
        <v>40</v>
      </c>
      <c r="V42" s="26"/>
      <c r="W42" s="27">
        <v>2</v>
      </c>
      <c r="X42" s="27" t="s">
        <v>443</v>
      </c>
      <c r="Y42" s="27" t="s">
        <v>782</v>
      </c>
      <c r="Z42" s="27">
        <v>29878</v>
      </c>
      <c r="AA42" s="27">
        <v>210</v>
      </c>
      <c r="AB42" s="27">
        <v>30088</v>
      </c>
      <c r="AC42" s="29">
        <v>48.82</v>
      </c>
    </row>
    <row r="43" spans="1:29" x14ac:dyDescent="0.5">
      <c r="A43" s="1">
        <v>4</v>
      </c>
      <c r="B43" s="1" t="s">
        <v>68</v>
      </c>
      <c r="C43" s="1" t="s">
        <v>9</v>
      </c>
      <c r="D43" s="1">
        <v>5442</v>
      </c>
      <c r="E43" s="1">
        <v>18</v>
      </c>
      <c r="F43" s="1">
        <v>5460</v>
      </c>
      <c r="G43" s="1">
        <v>5.43</v>
      </c>
      <c r="H43" s="1">
        <v>4</v>
      </c>
      <c r="U43" s="25">
        <v>41</v>
      </c>
      <c r="V43" s="26"/>
      <c r="W43" s="27">
        <v>1</v>
      </c>
      <c r="X43" s="27" t="s">
        <v>469</v>
      </c>
      <c r="Y43" s="27" t="s">
        <v>782</v>
      </c>
      <c r="Z43" s="27">
        <v>38675</v>
      </c>
      <c r="AA43" s="27">
        <v>184</v>
      </c>
      <c r="AB43" s="27">
        <v>38859</v>
      </c>
      <c r="AC43" s="29">
        <v>45.44</v>
      </c>
    </row>
    <row r="44" spans="1:29" x14ac:dyDescent="0.5">
      <c r="A44" s="1">
        <v>5</v>
      </c>
      <c r="B44" s="1" t="s">
        <v>69</v>
      </c>
      <c r="C44" s="1" t="s">
        <v>70</v>
      </c>
      <c r="D44" s="1">
        <v>56</v>
      </c>
      <c r="E44" s="1">
        <v>0</v>
      </c>
      <c r="F44" s="1">
        <v>56</v>
      </c>
      <c r="G44" s="1">
        <v>0.06</v>
      </c>
      <c r="H44" s="1">
        <v>4</v>
      </c>
      <c r="U44" s="25">
        <v>42</v>
      </c>
      <c r="V44" s="26"/>
      <c r="W44" s="27">
        <v>2</v>
      </c>
      <c r="X44" s="27" t="s">
        <v>481</v>
      </c>
      <c r="Y44" s="27" t="s">
        <v>782</v>
      </c>
      <c r="Z44" s="27">
        <v>37896</v>
      </c>
      <c r="AA44" s="27">
        <v>171</v>
      </c>
      <c r="AB44" s="27">
        <v>38067</v>
      </c>
      <c r="AC44" s="29">
        <v>45.06</v>
      </c>
    </row>
    <row r="45" spans="1:29" x14ac:dyDescent="0.5">
      <c r="A45" s="1">
        <v>6</v>
      </c>
      <c r="B45" s="1" t="s">
        <v>71</v>
      </c>
      <c r="C45" s="1" t="s">
        <v>72</v>
      </c>
      <c r="D45" s="1">
        <v>41</v>
      </c>
      <c r="E45" s="1">
        <v>0</v>
      </c>
      <c r="F45" s="1">
        <v>41</v>
      </c>
      <c r="G45" s="1">
        <v>0.04</v>
      </c>
      <c r="H45" s="1">
        <v>4</v>
      </c>
      <c r="U45" s="25">
        <v>43</v>
      </c>
      <c r="V45" s="26"/>
      <c r="W45" s="27">
        <v>3</v>
      </c>
      <c r="X45" s="27" t="s">
        <v>487</v>
      </c>
      <c r="Y45" s="27" t="s">
        <v>782</v>
      </c>
      <c r="Z45" s="27">
        <v>39216</v>
      </c>
      <c r="AA45" s="27">
        <v>348</v>
      </c>
      <c r="AB45" s="27">
        <v>39564</v>
      </c>
      <c r="AC45" s="29">
        <v>46.53</v>
      </c>
    </row>
    <row r="46" spans="1:29" x14ac:dyDescent="0.5">
      <c r="A46" s="1">
        <v>7</v>
      </c>
      <c r="B46" s="1" t="s">
        <v>73</v>
      </c>
      <c r="C46" s="1" t="s">
        <v>74</v>
      </c>
      <c r="D46" s="1">
        <v>18</v>
      </c>
      <c r="E46" s="1">
        <v>0</v>
      </c>
      <c r="F46" s="1">
        <v>18</v>
      </c>
      <c r="G46" s="1">
        <v>0.02</v>
      </c>
      <c r="H46" s="1">
        <v>4</v>
      </c>
      <c r="U46" s="25">
        <v>44</v>
      </c>
      <c r="V46" s="26"/>
      <c r="W46" s="27">
        <v>1</v>
      </c>
      <c r="X46" s="27" t="s">
        <v>493</v>
      </c>
      <c r="Y46" s="27" t="s">
        <v>782</v>
      </c>
      <c r="Z46" s="27">
        <v>42965</v>
      </c>
      <c r="AA46" s="27">
        <v>295</v>
      </c>
      <c r="AB46" s="27">
        <v>43260</v>
      </c>
      <c r="AC46" s="29">
        <v>56.55</v>
      </c>
    </row>
    <row r="47" spans="1:29" x14ac:dyDescent="0.5">
      <c r="A47" s="1">
        <v>8</v>
      </c>
      <c r="B47" s="1" t="s">
        <v>75</v>
      </c>
      <c r="C47" s="1" t="s">
        <v>76</v>
      </c>
      <c r="D47" s="1">
        <v>27</v>
      </c>
      <c r="E47" s="1">
        <v>0</v>
      </c>
      <c r="F47" s="1">
        <v>27</v>
      </c>
      <c r="G47" s="1">
        <v>0.03</v>
      </c>
      <c r="H47" s="1">
        <v>4</v>
      </c>
      <c r="U47" s="25">
        <v>45</v>
      </c>
      <c r="V47" s="26"/>
      <c r="W47" s="27">
        <v>1</v>
      </c>
      <c r="X47" s="27" t="s">
        <v>506</v>
      </c>
      <c r="Y47" s="27" t="s">
        <v>782</v>
      </c>
      <c r="Z47" s="27">
        <v>48022</v>
      </c>
      <c r="AA47" s="27">
        <v>327</v>
      </c>
      <c r="AB47" s="27">
        <v>48349</v>
      </c>
      <c r="AC47" s="29">
        <v>41.67</v>
      </c>
    </row>
    <row r="48" spans="1:29" x14ac:dyDescent="0.5">
      <c r="A48" s="1">
        <v>9</v>
      </c>
      <c r="B48" s="1" t="s">
        <v>77</v>
      </c>
      <c r="C48" s="1" t="s">
        <v>60</v>
      </c>
      <c r="D48" s="1">
        <v>35</v>
      </c>
      <c r="E48" s="1">
        <v>0</v>
      </c>
      <c r="F48" s="1">
        <v>35</v>
      </c>
      <c r="G48" s="1">
        <v>0.03</v>
      </c>
      <c r="H48" s="1">
        <v>4</v>
      </c>
      <c r="U48" s="25">
        <v>46</v>
      </c>
      <c r="V48" s="26"/>
      <c r="W48" s="27">
        <v>1</v>
      </c>
      <c r="X48" s="27" t="s">
        <v>515</v>
      </c>
      <c r="Y48" s="27" t="s">
        <v>782</v>
      </c>
      <c r="Z48" s="27">
        <v>80128</v>
      </c>
      <c r="AA48" s="27">
        <v>341</v>
      </c>
      <c r="AB48" s="27">
        <v>80469</v>
      </c>
      <c r="AC48" s="29">
        <v>48.98</v>
      </c>
    </row>
    <row r="49" spans="1:29" x14ac:dyDescent="0.5">
      <c r="A49" s="1">
        <v>10</v>
      </c>
      <c r="B49" s="1" t="s">
        <v>78</v>
      </c>
      <c r="C49" s="1" t="s">
        <v>79</v>
      </c>
      <c r="D49" s="1">
        <v>133</v>
      </c>
      <c r="E49" s="1">
        <v>0</v>
      </c>
      <c r="F49" s="1">
        <v>133</v>
      </c>
      <c r="G49" s="1">
        <v>0.13</v>
      </c>
      <c r="H49" s="1">
        <v>4</v>
      </c>
      <c r="U49" s="30">
        <v>47</v>
      </c>
      <c r="V49" s="26"/>
      <c r="W49" s="31">
        <v>2</v>
      </c>
      <c r="X49" s="31" t="s">
        <v>527</v>
      </c>
      <c r="Y49" s="31" t="s">
        <v>12</v>
      </c>
      <c r="Z49" s="31">
        <v>86774</v>
      </c>
      <c r="AA49" s="31">
        <v>115</v>
      </c>
      <c r="AB49" s="31">
        <v>86889</v>
      </c>
      <c r="AC49" s="32">
        <v>55.09</v>
      </c>
    </row>
    <row r="50" spans="1:29" x14ac:dyDescent="0.5">
      <c r="A50" s="1">
        <v>11</v>
      </c>
      <c r="B50" s="1" t="s">
        <v>80</v>
      </c>
      <c r="C50" s="1" t="s">
        <v>18</v>
      </c>
      <c r="D50" s="1">
        <v>64</v>
      </c>
      <c r="E50" s="1">
        <v>0</v>
      </c>
      <c r="F50" s="1">
        <v>64</v>
      </c>
      <c r="G50" s="1">
        <v>0.06</v>
      </c>
      <c r="H50" s="1">
        <v>4</v>
      </c>
      <c r="U50" s="30">
        <v>48</v>
      </c>
      <c r="V50" s="26"/>
      <c r="W50" s="31">
        <v>1</v>
      </c>
      <c r="X50" s="31" t="s">
        <v>534</v>
      </c>
      <c r="Y50" s="31" t="s">
        <v>12</v>
      </c>
      <c r="Z50" s="31">
        <v>46122</v>
      </c>
      <c r="AA50" s="31">
        <v>163</v>
      </c>
      <c r="AB50" s="31">
        <v>46285</v>
      </c>
      <c r="AC50" s="32">
        <v>47.62</v>
      </c>
    </row>
    <row r="51" spans="1:29" x14ac:dyDescent="0.5">
      <c r="A51" s="1">
        <v>12</v>
      </c>
      <c r="B51" s="1" t="s">
        <v>81</v>
      </c>
      <c r="C51" s="1" t="s">
        <v>18</v>
      </c>
      <c r="D51" s="1">
        <v>111</v>
      </c>
      <c r="E51" s="1">
        <v>0</v>
      </c>
      <c r="F51" s="1">
        <v>111</v>
      </c>
      <c r="G51" s="1">
        <v>0.11</v>
      </c>
      <c r="H51" s="1">
        <v>4</v>
      </c>
      <c r="U51" s="25">
        <v>49</v>
      </c>
      <c r="V51" s="26"/>
      <c r="W51" s="27">
        <v>1</v>
      </c>
      <c r="X51" s="27" t="s">
        <v>542</v>
      </c>
      <c r="Y51" s="27" t="s">
        <v>782</v>
      </c>
      <c r="Z51" s="27">
        <v>53980</v>
      </c>
      <c r="AA51" s="27">
        <v>69</v>
      </c>
      <c r="AB51" s="27">
        <v>54049</v>
      </c>
      <c r="AC51" s="29">
        <v>42.99</v>
      </c>
    </row>
    <row r="52" spans="1:29" x14ac:dyDescent="0.5">
      <c r="A52" s="1">
        <v>13</v>
      </c>
      <c r="B52" s="1" t="s">
        <v>82</v>
      </c>
      <c r="C52" s="1" t="s">
        <v>18</v>
      </c>
      <c r="D52" s="1">
        <v>140</v>
      </c>
      <c r="E52" s="1">
        <v>0</v>
      </c>
      <c r="F52" s="1">
        <v>140</v>
      </c>
      <c r="G52" s="1">
        <v>0.14000000000000001</v>
      </c>
      <c r="H52" s="1">
        <v>4</v>
      </c>
      <c r="U52" s="25">
        <v>50</v>
      </c>
      <c r="V52" s="26"/>
      <c r="W52" s="27">
        <v>3</v>
      </c>
      <c r="X52" s="27" t="s">
        <v>555</v>
      </c>
      <c r="Y52" s="27" t="s">
        <v>782</v>
      </c>
      <c r="Z52" s="27">
        <v>49370</v>
      </c>
      <c r="AA52" s="27">
        <v>224</v>
      </c>
      <c r="AB52" s="27">
        <v>49594</v>
      </c>
      <c r="AC52" s="29">
        <v>47.74</v>
      </c>
    </row>
    <row r="53" spans="1:29" x14ac:dyDescent="0.5">
      <c r="A53" s="1">
        <v>14</v>
      </c>
      <c r="B53" s="1" t="s">
        <v>83</v>
      </c>
      <c r="C53" s="1" t="s">
        <v>18</v>
      </c>
      <c r="D53" s="1">
        <v>116</v>
      </c>
      <c r="E53" s="1">
        <v>0</v>
      </c>
      <c r="F53" s="1">
        <v>116</v>
      </c>
      <c r="G53" s="1">
        <v>0.12</v>
      </c>
      <c r="H53" s="1">
        <v>4</v>
      </c>
      <c r="U53" s="30">
        <v>51</v>
      </c>
      <c r="V53" s="26"/>
      <c r="W53" s="31">
        <v>2</v>
      </c>
      <c r="X53" s="31" t="s">
        <v>560</v>
      </c>
      <c r="Y53" s="31" t="s">
        <v>12</v>
      </c>
      <c r="Z53" s="31">
        <v>52058</v>
      </c>
      <c r="AA53" s="31">
        <v>96</v>
      </c>
      <c r="AB53" s="31">
        <v>52154</v>
      </c>
      <c r="AC53" s="32">
        <v>48.8</v>
      </c>
    </row>
    <row r="54" spans="1:29" x14ac:dyDescent="0.5">
      <c r="A54" s="1">
        <v>15</v>
      </c>
      <c r="B54" s="1" t="s">
        <v>20</v>
      </c>
      <c r="C54" s="1" t="s">
        <v>21</v>
      </c>
      <c r="D54" s="1">
        <v>374</v>
      </c>
      <c r="E54" s="1">
        <v>3</v>
      </c>
      <c r="F54" s="1">
        <v>377</v>
      </c>
      <c r="G54" s="1">
        <v>0.38</v>
      </c>
      <c r="H54" s="1">
        <v>4</v>
      </c>
      <c r="U54" s="30">
        <v>52</v>
      </c>
      <c r="V54" s="26"/>
      <c r="W54" s="31">
        <v>4</v>
      </c>
      <c r="X54" s="31" t="s">
        <v>575</v>
      </c>
      <c r="Y54" s="31" t="s">
        <v>12</v>
      </c>
      <c r="Z54" s="31">
        <v>62073</v>
      </c>
      <c r="AA54" s="31">
        <v>82</v>
      </c>
      <c r="AB54" s="31">
        <v>62155</v>
      </c>
      <c r="AC54" s="32">
        <v>54.08</v>
      </c>
    </row>
    <row r="55" spans="1:29" x14ac:dyDescent="0.5">
      <c r="A55" s="1">
        <v>1</v>
      </c>
      <c r="B55" s="1" t="s">
        <v>84</v>
      </c>
      <c r="C55" s="1" t="s">
        <v>12</v>
      </c>
      <c r="D55" s="1">
        <v>45937</v>
      </c>
      <c r="E55" s="1">
        <v>92</v>
      </c>
      <c r="F55" s="1">
        <v>46029</v>
      </c>
      <c r="G55" s="1">
        <v>30.51</v>
      </c>
      <c r="H55" s="1">
        <v>5</v>
      </c>
      <c r="U55" s="30">
        <v>53</v>
      </c>
      <c r="V55" s="26"/>
      <c r="W55" s="31">
        <v>5</v>
      </c>
      <c r="X55" s="31" t="s">
        <v>587</v>
      </c>
      <c r="Y55" s="31" t="s">
        <v>12</v>
      </c>
      <c r="Z55" s="31">
        <v>112809</v>
      </c>
      <c r="AA55" s="31">
        <v>182</v>
      </c>
      <c r="AB55" s="31">
        <v>112991</v>
      </c>
      <c r="AC55" s="32">
        <v>54.3</v>
      </c>
    </row>
    <row r="56" spans="1:29" x14ac:dyDescent="0.5">
      <c r="A56" s="16">
        <v>2</v>
      </c>
      <c r="B56" s="16" t="s">
        <v>85</v>
      </c>
      <c r="C56" s="17" t="s">
        <v>782</v>
      </c>
      <c r="D56" s="16">
        <v>61011</v>
      </c>
      <c r="E56" s="16">
        <v>181</v>
      </c>
      <c r="F56" s="16">
        <v>61192</v>
      </c>
      <c r="G56" s="16">
        <v>40.56</v>
      </c>
      <c r="H56" s="16">
        <v>5</v>
      </c>
      <c r="U56" s="30">
        <v>54</v>
      </c>
      <c r="V56" s="26"/>
      <c r="W56" s="31">
        <v>1</v>
      </c>
      <c r="X56" s="31" t="s">
        <v>596</v>
      </c>
      <c r="Y56" s="31" t="s">
        <v>12</v>
      </c>
      <c r="Z56" s="31">
        <v>88751</v>
      </c>
      <c r="AA56" s="31">
        <v>192</v>
      </c>
      <c r="AB56" s="31">
        <v>88943</v>
      </c>
      <c r="AC56" s="32">
        <v>42.45</v>
      </c>
    </row>
    <row r="57" spans="1:29" x14ac:dyDescent="0.5">
      <c r="A57" s="1">
        <v>3</v>
      </c>
      <c r="B57" s="1" t="s">
        <v>86</v>
      </c>
      <c r="C57" s="1" t="s">
        <v>9</v>
      </c>
      <c r="D57" s="1">
        <v>40980</v>
      </c>
      <c r="E57" s="1">
        <v>91</v>
      </c>
      <c r="F57" s="1">
        <v>41071</v>
      </c>
      <c r="G57" s="1">
        <v>27.22</v>
      </c>
      <c r="H57" s="1">
        <v>5</v>
      </c>
      <c r="U57" s="25">
        <v>55</v>
      </c>
      <c r="V57" s="26"/>
      <c r="W57" s="27">
        <v>4</v>
      </c>
      <c r="X57" s="27" t="s">
        <v>617</v>
      </c>
      <c r="Y57" s="27" t="s">
        <v>782</v>
      </c>
      <c r="Z57" s="27">
        <v>58029</v>
      </c>
      <c r="AA57" s="27">
        <v>188</v>
      </c>
      <c r="AB57" s="27">
        <v>58217</v>
      </c>
      <c r="AC57" s="29">
        <v>46.1</v>
      </c>
    </row>
    <row r="58" spans="1:29" x14ac:dyDescent="0.5">
      <c r="A58" s="1">
        <v>4</v>
      </c>
      <c r="B58" s="1" t="s">
        <v>87</v>
      </c>
      <c r="C58" s="1" t="s">
        <v>23</v>
      </c>
      <c r="D58" s="1">
        <v>723</v>
      </c>
      <c r="E58" s="1">
        <v>2</v>
      </c>
      <c r="F58" s="1">
        <v>725</v>
      </c>
      <c r="G58" s="1">
        <v>0.48</v>
      </c>
      <c r="H58" s="1">
        <v>5</v>
      </c>
      <c r="U58" s="30">
        <v>56</v>
      </c>
      <c r="V58" s="26"/>
      <c r="W58" s="31">
        <v>2</v>
      </c>
      <c r="X58" s="31" t="s">
        <v>622</v>
      </c>
      <c r="Y58" s="31" t="s">
        <v>12</v>
      </c>
      <c r="Z58" s="31">
        <v>61609</v>
      </c>
      <c r="AA58" s="31">
        <v>183</v>
      </c>
      <c r="AB58" s="31">
        <v>61792</v>
      </c>
      <c r="AC58" s="32">
        <v>48</v>
      </c>
    </row>
    <row r="59" spans="1:29" x14ac:dyDescent="0.5">
      <c r="A59" s="1">
        <v>5</v>
      </c>
      <c r="B59" s="1" t="s">
        <v>88</v>
      </c>
      <c r="C59" s="1" t="s">
        <v>89</v>
      </c>
      <c r="D59" s="1">
        <v>76</v>
      </c>
      <c r="E59" s="1">
        <v>0</v>
      </c>
      <c r="F59" s="1">
        <v>76</v>
      </c>
      <c r="G59" s="1">
        <v>0.05</v>
      </c>
      <c r="H59" s="1">
        <v>5</v>
      </c>
      <c r="U59" s="25">
        <v>57</v>
      </c>
      <c r="V59" s="26"/>
      <c r="W59" s="27">
        <v>4</v>
      </c>
      <c r="X59" s="27" t="s">
        <v>631</v>
      </c>
      <c r="Y59" s="27" t="s">
        <v>782</v>
      </c>
      <c r="Z59" s="27">
        <v>73696</v>
      </c>
      <c r="AA59" s="27">
        <v>364</v>
      </c>
      <c r="AB59" s="27">
        <v>74060</v>
      </c>
      <c r="AC59" s="29">
        <v>53.41</v>
      </c>
    </row>
    <row r="60" spans="1:29" x14ac:dyDescent="0.5">
      <c r="A60" s="1">
        <v>6</v>
      </c>
      <c r="B60" s="1" t="s">
        <v>90</v>
      </c>
      <c r="C60" s="1" t="s">
        <v>91</v>
      </c>
      <c r="D60" s="1">
        <v>250</v>
      </c>
      <c r="E60" s="1">
        <v>0</v>
      </c>
      <c r="F60" s="1">
        <v>250</v>
      </c>
      <c r="G60" s="1">
        <v>0.17</v>
      </c>
      <c r="H60" s="1">
        <v>5</v>
      </c>
      <c r="U60" s="25">
        <v>58</v>
      </c>
      <c r="V60" s="26"/>
      <c r="W60" s="27">
        <v>1</v>
      </c>
      <c r="X60" s="27" t="s">
        <v>637</v>
      </c>
      <c r="Y60" s="27" t="s">
        <v>782</v>
      </c>
      <c r="Z60" s="27">
        <v>65560</v>
      </c>
      <c r="AA60" s="27">
        <v>298</v>
      </c>
      <c r="AB60" s="27">
        <v>65858</v>
      </c>
      <c r="AC60" s="29">
        <v>52.11</v>
      </c>
    </row>
    <row r="61" spans="1:29" x14ac:dyDescent="0.5">
      <c r="A61" s="1">
        <v>7</v>
      </c>
      <c r="B61" s="1" t="s">
        <v>92</v>
      </c>
      <c r="C61" s="1" t="s">
        <v>39</v>
      </c>
      <c r="D61" s="1">
        <v>92</v>
      </c>
      <c r="E61" s="1">
        <v>0</v>
      </c>
      <c r="F61" s="1">
        <v>92</v>
      </c>
      <c r="G61" s="1">
        <v>0.06</v>
      </c>
      <c r="H61" s="1">
        <v>5</v>
      </c>
      <c r="U61" s="25">
        <v>59</v>
      </c>
      <c r="V61" s="26"/>
      <c r="W61" s="27">
        <v>1</v>
      </c>
      <c r="X61" s="27" t="s">
        <v>656</v>
      </c>
      <c r="Y61" s="27" t="s">
        <v>782</v>
      </c>
      <c r="Z61" s="27">
        <v>71672</v>
      </c>
      <c r="AA61" s="27">
        <v>469</v>
      </c>
      <c r="AB61" s="27">
        <v>72141</v>
      </c>
      <c r="AC61" s="29">
        <v>57.7</v>
      </c>
    </row>
    <row r="62" spans="1:29" x14ac:dyDescent="0.5">
      <c r="A62" s="1">
        <v>8</v>
      </c>
      <c r="B62" s="1" t="s">
        <v>93</v>
      </c>
      <c r="C62" s="1" t="s">
        <v>70</v>
      </c>
      <c r="D62" s="1">
        <v>68</v>
      </c>
      <c r="E62" s="1">
        <v>0</v>
      </c>
      <c r="F62" s="1">
        <v>68</v>
      </c>
      <c r="G62" s="1">
        <v>0.05</v>
      </c>
      <c r="H62" s="1">
        <v>5</v>
      </c>
      <c r="U62" s="25">
        <v>60</v>
      </c>
      <c r="V62" s="26"/>
      <c r="W62" s="27">
        <v>1</v>
      </c>
      <c r="X62" s="27" t="s">
        <v>665</v>
      </c>
      <c r="Y62" s="27" t="s">
        <v>782</v>
      </c>
      <c r="Z62" s="27">
        <v>75623</v>
      </c>
      <c r="AA62" s="27">
        <v>299</v>
      </c>
      <c r="AB62" s="27">
        <v>75922</v>
      </c>
      <c r="AC62" s="29">
        <v>52.94</v>
      </c>
    </row>
    <row r="63" spans="1:29" x14ac:dyDescent="0.5">
      <c r="A63" s="1">
        <v>9</v>
      </c>
      <c r="B63" s="1" t="s">
        <v>94</v>
      </c>
      <c r="C63" s="1" t="s">
        <v>35</v>
      </c>
      <c r="D63" s="1">
        <v>64</v>
      </c>
      <c r="E63" s="1">
        <v>0</v>
      </c>
      <c r="F63" s="1">
        <v>64</v>
      </c>
      <c r="G63" s="1">
        <v>0.04</v>
      </c>
      <c r="H63" s="1">
        <v>5</v>
      </c>
      <c r="U63" s="25">
        <v>61</v>
      </c>
      <c r="V63" s="26"/>
      <c r="W63" s="27">
        <v>1</v>
      </c>
      <c r="X63" s="27" t="s">
        <v>673</v>
      </c>
      <c r="Y63" s="27" t="s">
        <v>782</v>
      </c>
      <c r="Z63" s="27">
        <v>56665</v>
      </c>
      <c r="AA63" s="27">
        <v>193</v>
      </c>
      <c r="AB63" s="27">
        <v>56858</v>
      </c>
      <c r="AC63" s="29">
        <v>53.94</v>
      </c>
    </row>
    <row r="64" spans="1:29" x14ac:dyDescent="0.5">
      <c r="A64" s="1">
        <v>10</v>
      </c>
      <c r="B64" s="1" t="s">
        <v>95</v>
      </c>
      <c r="C64" s="1" t="s">
        <v>18</v>
      </c>
      <c r="D64" s="1">
        <v>158</v>
      </c>
      <c r="E64" s="1">
        <v>0</v>
      </c>
      <c r="F64" s="1">
        <v>158</v>
      </c>
      <c r="G64" s="1">
        <v>0.1</v>
      </c>
      <c r="H64" s="1">
        <v>5</v>
      </c>
      <c r="U64" s="25">
        <v>62</v>
      </c>
      <c r="V64" s="26"/>
      <c r="W64" s="27">
        <v>4</v>
      </c>
      <c r="X64" s="27" t="s">
        <v>682</v>
      </c>
      <c r="Y64" s="27" t="s">
        <v>782</v>
      </c>
      <c r="Z64" s="27">
        <v>62477</v>
      </c>
      <c r="AA64" s="27">
        <v>311</v>
      </c>
      <c r="AB64" s="27">
        <v>62788</v>
      </c>
      <c r="AC64" s="29">
        <v>49.63</v>
      </c>
    </row>
    <row r="65" spans="1:29" x14ac:dyDescent="0.5">
      <c r="A65" s="1">
        <v>11</v>
      </c>
      <c r="B65" s="1" t="s">
        <v>96</v>
      </c>
      <c r="C65" s="1" t="s">
        <v>18</v>
      </c>
      <c r="D65" s="1">
        <v>214</v>
      </c>
      <c r="E65" s="1">
        <v>0</v>
      </c>
      <c r="F65" s="1">
        <v>214</v>
      </c>
      <c r="G65" s="1">
        <v>0.14000000000000001</v>
      </c>
      <c r="H65" s="1">
        <v>5</v>
      </c>
      <c r="U65" s="30">
        <v>63</v>
      </c>
      <c r="V65" s="26"/>
      <c r="W65" s="31">
        <v>4</v>
      </c>
      <c r="X65" s="31" t="s">
        <v>692</v>
      </c>
      <c r="Y65" s="31" t="s">
        <v>12</v>
      </c>
      <c r="Z65" s="31">
        <v>66186</v>
      </c>
      <c r="AA65" s="31">
        <v>167</v>
      </c>
      <c r="AB65" s="31">
        <v>66353</v>
      </c>
      <c r="AC65" s="32">
        <v>48.45</v>
      </c>
    </row>
    <row r="66" spans="1:29" x14ac:dyDescent="0.5">
      <c r="A66" s="1">
        <v>12</v>
      </c>
      <c r="B66" s="1" t="s">
        <v>97</v>
      </c>
      <c r="C66" s="1" t="s">
        <v>18</v>
      </c>
      <c r="D66" s="1">
        <v>235</v>
      </c>
      <c r="E66" s="1">
        <v>0</v>
      </c>
      <c r="F66" s="1">
        <v>235</v>
      </c>
      <c r="G66" s="1">
        <v>0.16</v>
      </c>
      <c r="H66" s="1">
        <v>5</v>
      </c>
      <c r="U66" s="25">
        <v>64</v>
      </c>
      <c r="V66" s="26"/>
      <c r="W66" s="27">
        <v>2</v>
      </c>
      <c r="X66" s="27" t="s">
        <v>701</v>
      </c>
      <c r="Y66" s="27" t="s">
        <v>782</v>
      </c>
      <c r="Z66" s="27">
        <v>82299</v>
      </c>
      <c r="AA66" s="27">
        <v>597</v>
      </c>
      <c r="AB66" s="27">
        <v>82896</v>
      </c>
      <c r="AC66" s="29">
        <v>57.44</v>
      </c>
    </row>
    <row r="67" spans="1:29" x14ac:dyDescent="0.5">
      <c r="A67" s="1">
        <v>13</v>
      </c>
      <c r="B67" s="1" t="s">
        <v>20</v>
      </c>
      <c r="C67" s="1" t="s">
        <v>21</v>
      </c>
      <c r="D67" s="1">
        <v>687</v>
      </c>
      <c r="E67" s="1">
        <v>5</v>
      </c>
      <c r="F67" s="1">
        <v>692</v>
      </c>
      <c r="G67" s="1">
        <v>0.46</v>
      </c>
      <c r="H67" s="1">
        <v>5</v>
      </c>
      <c r="U67" s="30">
        <v>65</v>
      </c>
      <c r="V67" s="26"/>
      <c r="W67" s="31">
        <v>3</v>
      </c>
      <c r="X67" s="31" t="s">
        <v>716</v>
      </c>
      <c r="Y67" s="31" t="s">
        <v>12</v>
      </c>
      <c r="Z67" s="31">
        <v>78866</v>
      </c>
      <c r="AA67" s="31">
        <v>143</v>
      </c>
      <c r="AB67" s="31">
        <v>79009</v>
      </c>
      <c r="AC67" s="32">
        <v>59.21</v>
      </c>
    </row>
    <row r="68" spans="1:29" x14ac:dyDescent="0.5">
      <c r="A68" s="16">
        <v>1</v>
      </c>
      <c r="B68" s="16" t="s">
        <v>98</v>
      </c>
      <c r="C68" s="17" t="s">
        <v>782</v>
      </c>
      <c r="D68" s="16">
        <v>103950</v>
      </c>
      <c r="E68" s="16">
        <v>421</v>
      </c>
      <c r="F68" s="16">
        <v>104371</v>
      </c>
      <c r="G68" s="16">
        <v>55.76</v>
      </c>
      <c r="H68" s="16">
        <v>6</v>
      </c>
      <c r="U68" s="25">
        <v>66</v>
      </c>
      <c r="V68" s="26"/>
      <c r="W68" s="27">
        <v>1</v>
      </c>
      <c r="X68" s="27" t="s">
        <v>727</v>
      </c>
      <c r="Y68" s="27" t="s">
        <v>782</v>
      </c>
      <c r="Z68" s="27">
        <v>79706</v>
      </c>
      <c r="AA68" s="27">
        <v>281</v>
      </c>
      <c r="AB68" s="27">
        <v>79987</v>
      </c>
      <c r="AC68" s="29">
        <v>56.96</v>
      </c>
    </row>
    <row r="69" spans="1:29" x14ac:dyDescent="0.5">
      <c r="A69" s="1">
        <v>2</v>
      </c>
      <c r="B69" s="1" t="s">
        <v>99</v>
      </c>
      <c r="C69" s="1" t="s">
        <v>23</v>
      </c>
      <c r="D69" s="1">
        <v>615</v>
      </c>
      <c r="E69" s="1">
        <v>4</v>
      </c>
      <c r="F69" s="1">
        <v>619</v>
      </c>
      <c r="G69" s="1">
        <v>0.33</v>
      </c>
      <c r="H69" s="1">
        <v>6</v>
      </c>
      <c r="U69" s="30">
        <v>67</v>
      </c>
      <c r="V69" s="26"/>
      <c r="W69" s="31">
        <v>2</v>
      </c>
      <c r="X69" s="31" t="s">
        <v>735</v>
      </c>
      <c r="Y69" s="31" t="s">
        <v>12</v>
      </c>
      <c r="Z69" s="31">
        <v>76031</v>
      </c>
      <c r="AA69" s="31">
        <v>161</v>
      </c>
      <c r="AB69" s="31">
        <v>76192</v>
      </c>
      <c r="AC69" s="32">
        <v>53.19</v>
      </c>
    </row>
    <row r="70" spans="1:29" x14ac:dyDescent="0.5">
      <c r="A70" s="1">
        <v>3</v>
      </c>
      <c r="B70" s="1" t="s">
        <v>100</v>
      </c>
      <c r="C70" s="1" t="s">
        <v>12</v>
      </c>
      <c r="D70" s="1">
        <v>74591</v>
      </c>
      <c r="E70" s="1">
        <v>164</v>
      </c>
      <c r="F70" s="1">
        <v>74755</v>
      </c>
      <c r="G70" s="1">
        <v>39.94</v>
      </c>
      <c r="H70" s="1">
        <v>6</v>
      </c>
      <c r="U70" s="30">
        <v>68</v>
      </c>
      <c r="V70" s="26"/>
      <c r="W70" s="31">
        <v>4</v>
      </c>
      <c r="X70" s="31" t="s">
        <v>745</v>
      </c>
      <c r="Y70" s="31" t="s">
        <v>12</v>
      </c>
      <c r="Z70" s="31">
        <v>80086</v>
      </c>
      <c r="AA70" s="31">
        <v>418</v>
      </c>
      <c r="AB70" s="31">
        <v>80504</v>
      </c>
      <c r="AC70" s="32">
        <v>48.48</v>
      </c>
    </row>
    <row r="71" spans="1:29" x14ac:dyDescent="0.5">
      <c r="A71" s="1">
        <v>4</v>
      </c>
      <c r="B71" s="1" t="s">
        <v>101</v>
      </c>
      <c r="C71" s="1" t="s">
        <v>9</v>
      </c>
      <c r="D71" s="1">
        <v>5216</v>
      </c>
      <c r="E71" s="1">
        <v>42</v>
      </c>
      <c r="F71" s="1">
        <v>5258</v>
      </c>
      <c r="G71" s="1">
        <v>2.81</v>
      </c>
      <c r="H71" s="1">
        <v>6</v>
      </c>
      <c r="U71" s="25">
        <v>69</v>
      </c>
      <c r="V71" s="26"/>
      <c r="W71" s="27">
        <v>4</v>
      </c>
      <c r="X71" s="27" t="s">
        <v>755</v>
      </c>
      <c r="Y71" s="27" t="s">
        <v>782</v>
      </c>
      <c r="Z71" s="27">
        <v>84888</v>
      </c>
      <c r="AA71" s="27">
        <v>327</v>
      </c>
      <c r="AB71" s="27">
        <v>85215</v>
      </c>
      <c r="AC71" s="29">
        <v>42.36</v>
      </c>
    </row>
    <row r="72" spans="1:29" x14ac:dyDescent="0.5">
      <c r="A72" s="1">
        <v>5</v>
      </c>
      <c r="B72" s="1" t="s">
        <v>102</v>
      </c>
      <c r="C72" s="1" t="s">
        <v>103</v>
      </c>
      <c r="D72" s="1">
        <v>213</v>
      </c>
      <c r="E72" s="1">
        <v>0</v>
      </c>
      <c r="F72" s="1">
        <v>213</v>
      </c>
      <c r="G72" s="1">
        <v>0.11</v>
      </c>
      <c r="H72" s="1">
        <v>6</v>
      </c>
      <c r="U72" s="33">
        <v>70</v>
      </c>
      <c r="V72" s="34"/>
      <c r="W72" s="35">
        <v>2</v>
      </c>
      <c r="X72" s="35" t="s">
        <v>766</v>
      </c>
      <c r="Y72" s="35" t="s">
        <v>782</v>
      </c>
      <c r="Z72" s="35">
        <v>106963</v>
      </c>
      <c r="AA72" s="35">
        <v>404</v>
      </c>
      <c r="AB72" s="35">
        <v>107367</v>
      </c>
      <c r="AC72" s="36">
        <v>53.39</v>
      </c>
    </row>
    <row r="73" spans="1:29" x14ac:dyDescent="0.5">
      <c r="A73" s="1">
        <v>6</v>
      </c>
      <c r="B73" s="1" t="s">
        <v>104</v>
      </c>
      <c r="C73" s="1" t="s">
        <v>60</v>
      </c>
      <c r="D73" s="1">
        <v>114</v>
      </c>
      <c r="E73" s="1">
        <v>0</v>
      </c>
      <c r="F73" s="1">
        <v>114</v>
      </c>
      <c r="G73" s="1">
        <v>0.06</v>
      </c>
      <c r="H73" s="1">
        <v>6</v>
      </c>
    </row>
    <row r="74" spans="1:29" x14ac:dyDescent="0.5">
      <c r="A74" s="1">
        <v>7</v>
      </c>
      <c r="B74" s="1" t="s">
        <v>105</v>
      </c>
      <c r="C74" s="1" t="s">
        <v>106</v>
      </c>
      <c r="D74" s="1">
        <v>55</v>
      </c>
      <c r="E74" s="1">
        <v>1</v>
      </c>
      <c r="F74" s="1">
        <v>56</v>
      </c>
      <c r="G74" s="1">
        <v>0.03</v>
      </c>
      <c r="H74" s="1">
        <v>6</v>
      </c>
    </row>
    <row r="75" spans="1:29" x14ac:dyDescent="0.5">
      <c r="A75" s="1">
        <v>8</v>
      </c>
      <c r="B75" s="1" t="s">
        <v>107</v>
      </c>
      <c r="C75" s="1" t="s">
        <v>108</v>
      </c>
      <c r="D75" s="1">
        <v>154</v>
      </c>
      <c r="E75" s="1">
        <v>1</v>
      </c>
      <c r="F75" s="1">
        <v>155</v>
      </c>
      <c r="G75" s="1">
        <v>0.08</v>
      </c>
      <c r="H75" s="1">
        <v>6</v>
      </c>
    </row>
    <row r="76" spans="1:29" x14ac:dyDescent="0.5">
      <c r="A76" s="1">
        <v>9</v>
      </c>
      <c r="B76" s="1" t="s">
        <v>109</v>
      </c>
      <c r="C76" s="1" t="s">
        <v>18</v>
      </c>
      <c r="D76" s="1">
        <v>104</v>
      </c>
      <c r="E76" s="1">
        <v>0</v>
      </c>
      <c r="F76" s="1">
        <v>104</v>
      </c>
      <c r="G76" s="1">
        <v>0.06</v>
      </c>
      <c r="H76" s="1">
        <v>6</v>
      </c>
    </row>
    <row r="77" spans="1:29" x14ac:dyDescent="0.5">
      <c r="A77" s="1">
        <v>10</v>
      </c>
      <c r="B77" s="1" t="s">
        <v>110</v>
      </c>
      <c r="C77" s="1" t="s">
        <v>18</v>
      </c>
      <c r="D77" s="1">
        <v>167</v>
      </c>
      <c r="E77" s="1">
        <v>0</v>
      </c>
      <c r="F77" s="1">
        <v>167</v>
      </c>
      <c r="G77" s="1">
        <v>0.09</v>
      </c>
      <c r="H77" s="1">
        <v>6</v>
      </c>
    </row>
    <row r="78" spans="1:29" x14ac:dyDescent="0.5">
      <c r="A78" s="1">
        <v>11</v>
      </c>
      <c r="B78" s="1" t="s">
        <v>111</v>
      </c>
      <c r="C78" s="1" t="s">
        <v>18</v>
      </c>
      <c r="D78" s="1">
        <v>117</v>
      </c>
      <c r="E78" s="1">
        <v>0</v>
      </c>
      <c r="F78" s="1">
        <v>117</v>
      </c>
      <c r="G78" s="1">
        <v>0.06</v>
      </c>
      <c r="H78" s="1">
        <v>6</v>
      </c>
    </row>
    <row r="79" spans="1:29" x14ac:dyDescent="0.5">
      <c r="A79" s="1">
        <v>12</v>
      </c>
      <c r="B79" s="1" t="s">
        <v>20</v>
      </c>
      <c r="C79" s="1" t="s">
        <v>21</v>
      </c>
      <c r="D79" s="1">
        <v>1224</v>
      </c>
      <c r="E79" s="1">
        <v>11</v>
      </c>
      <c r="F79" s="1">
        <v>1235</v>
      </c>
      <c r="G79" s="1">
        <v>0.66</v>
      </c>
      <c r="H79" s="1">
        <v>6</v>
      </c>
    </row>
    <row r="80" spans="1:29" x14ac:dyDescent="0.5">
      <c r="A80" s="1">
        <v>1</v>
      </c>
      <c r="B80" s="1" t="s">
        <v>112</v>
      </c>
      <c r="C80" s="1" t="s">
        <v>12</v>
      </c>
      <c r="D80" s="1">
        <v>87874</v>
      </c>
      <c r="E80" s="1">
        <v>166</v>
      </c>
      <c r="F80" s="1">
        <v>88040</v>
      </c>
      <c r="G80" s="1">
        <v>38.299999999999997</v>
      </c>
      <c r="H80" s="1">
        <v>7</v>
      </c>
    </row>
    <row r="81" spans="1:8" x14ac:dyDescent="0.5">
      <c r="A81" s="16">
        <v>2</v>
      </c>
      <c r="B81" s="16" t="s">
        <v>113</v>
      </c>
      <c r="C81" s="17" t="s">
        <v>782</v>
      </c>
      <c r="D81" s="16">
        <v>118746</v>
      </c>
      <c r="E81" s="16">
        <v>769</v>
      </c>
      <c r="F81" s="16">
        <v>119515</v>
      </c>
      <c r="G81" s="16">
        <v>52</v>
      </c>
      <c r="H81" s="16">
        <v>7</v>
      </c>
    </row>
    <row r="82" spans="1:8" x14ac:dyDescent="0.5">
      <c r="A82" s="1">
        <v>3</v>
      </c>
      <c r="B82" s="1" t="s">
        <v>114</v>
      </c>
      <c r="C82" s="1" t="s">
        <v>9</v>
      </c>
      <c r="D82" s="1">
        <v>18630</v>
      </c>
      <c r="E82" s="1">
        <v>83</v>
      </c>
      <c r="F82" s="1">
        <v>18713</v>
      </c>
      <c r="G82" s="1">
        <v>8.14</v>
      </c>
      <c r="H82" s="1">
        <v>7</v>
      </c>
    </row>
    <row r="83" spans="1:8" x14ac:dyDescent="0.5">
      <c r="A83" s="1">
        <v>4</v>
      </c>
      <c r="B83" s="1" t="s">
        <v>115</v>
      </c>
      <c r="C83" s="1" t="s">
        <v>23</v>
      </c>
      <c r="D83" s="1">
        <v>1552</v>
      </c>
      <c r="E83" s="1">
        <v>5</v>
      </c>
      <c r="F83" s="1">
        <v>1557</v>
      </c>
      <c r="G83" s="1">
        <v>0.68</v>
      </c>
      <c r="H83" s="1">
        <v>7</v>
      </c>
    </row>
    <row r="84" spans="1:8" x14ac:dyDescent="0.5">
      <c r="A84" s="1">
        <v>5</v>
      </c>
      <c r="B84" s="1" t="s">
        <v>116</v>
      </c>
      <c r="C84" s="1" t="s">
        <v>60</v>
      </c>
      <c r="D84" s="1">
        <v>216</v>
      </c>
      <c r="E84" s="1">
        <v>0</v>
      </c>
      <c r="F84" s="1">
        <v>216</v>
      </c>
      <c r="G84" s="1">
        <v>0.09</v>
      </c>
      <c r="H84" s="1">
        <v>7</v>
      </c>
    </row>
    <row r="85" spans="1:8" x14ac:dyDescent="0.5">
      <c r="A85" s="1">
        <v>6</v>
      </c>
      <c r="B85" s="1" t="s">
        <v>117</v>
      </c>
      <c r="C85" s="1" t="s">
        <v>106</v>
      </c>
      <c r="D85" s="1">
        <v>188</v>
      </c>
      <c r="E85" s="1">
        <v>2</v>
      </c>
      <c r="F85" s="1">
        <v>190</v>
      </c>
      <c r="G85" s="1">
        <v>0.08</v>
      </c>
      <c r="H85" s="1">
        <v>7</v>
      </c>
    </row>
    <row r="86" spans="1:8" x14ac:dyDescent="0.5">
      <c r="A86" s="1">
        <v>7</v>
      </c>
      <c r="B86" s="1" t="s">
        <v>118</v>
      </c>
      <c r="C86" s="1" t="s">
        <v>18</v>
      </c>
      <c r="D86" s="1">
        <v>278</v>
      </c>
      <c r="E86" s="1">
        <v>1</v>
      </c>
      <c r="F86" s="1">
        <v>279</v>
      </c>
      <c r="G86" s="1">
        <v>0.12</v>
      </c>
      <c r="H86" s="1">
        <v>7</v>
      </c>
    </row>
    <row r="87" spans="1:8" x14ac:dyDescent="0.5">
      <c r="A87" s="1">
        <v>8</v>
      </c>
      <c r="B87" s="1" t="s">
        <v>20</v>
      </c>
      <c r="C87" s="1" t="s">
        <v>21</v>
      </c>
      <c r="D87" s="1">
        <v>1339</v>
      </c>
      <c r="E87" s="1">
        <v>7</v>
      </c>
      <c r="F87" s="1">
        <v>1346</v>
      </c>
      <c r="G87" s="1">
        <v>0.59</v>
      </c>
      <c r="H87" s="1">
        <v>7</v>
      </c>
    </row>
    <row r="88" spans="1:8" x14ac:dyDescent="0.5">
      <c r="A88" s="16">
        <v>1</v>
      </c>
      <c r="B88" s="16" t="s">
        <v>119</v>
      </c>
      <c r="C88" s="17" t="s">
        <v>782</v>
      </c>
      <c r="D88" s="16">
        <v>89128</v>
      </c>
      <c r="E88" s="16">
        <v>711</v>
      </c>
      <c r="F88" s="16">
        <v>89839</v>
      </c>
      <c r="G88" s="16">
        <v>47.07</v>
      </c>
      <c r="H88" s="16">
        <v>8</v>
      </c>
    </row>
    <row r="89" spans="1:8" x14ac:dyDescent="0.5">
      <c r="A89" s="1">
        <v>2</v>
      </c>
      <c r="B89" s="1" t="s">
        <v>120</v>
      </c>
      <c r="C89" s="1" t="s">
        <v>12</v>
      </c>
      <c r="D89" s="1">
        <v>79062</v>
      </c>
      <c r="E89" s="1">
        <v>227</v>
      </c>
      <c r="F89" s="1">
        <v>79289</v>
      </c>
      <c r="G89" s="1">
        <v>41.54</v>
      </c>
      <c r="H89" s="1">
        <v>8</v>
      </c>
    </row>
    <row r="90" spans="1:8" x14ac:dyDescent="0.5">
      <c r="A90" s="1">
        <v>3</v>
      </c>
      <c r="B90" s="1" t="s">
        <v>121</v>
      </c>
      <c r="C90" s="1" t="s">
        <v>9</v>
      </c>
      <c r="D90" s="1">
        <v>10241</v>
      </c>
      <c r="E90" s="1">
        <v>49</v>
      </c>
      <c r="F90" s="1">
        <v>10290</v>
      </c>
      <c r="G90" s="1">
        <v>5.39</v>
      </c>
      <c r="H90" s="1">
        <v>8</v>
      </c>
    </row>
    <row r="91" spans="1:8" x14ac:dyDescent="0.5">
      <c r="A91" s="1">
        <v>4</v>
      </c>
      <c r="B91" s="1" t="s">
        <v>122</v>
      </c>
      <c r="C91" s="1" t="s">
        <v>23</v>
      </c>
      <c r="D91" s="1">
        <v>544</v>
      </c>
      <c r="E91" s="1">
        <v>4</v>
      </c>
      <c r="F91" s="1">
        <v>548</v>
      </c>
      <c r="G91" s="1">
        <v>0.28999999999999998</v>
      </c>
      <c r="H91" s="1">
        <v>8</v>
      </c>
    </row>
    <row r="92" spans="1:8" x14ac:dyDescent="0.5">
      <c r="A92" s="1">
        <v>5</v>
      </c>
      <c r="B92" s="1" t="s">
        <v>123</v>
      </c>
      <c r="C92" s="1" t="s">
        <v>124</v>
      </c>
      <c r="D92" s="1">
        <v>93</v>
      </c>
      <c r="E92" s="1">
        <v>1</v>
      </c>
      <c r="F92" s="1">
        <v>94</v>
      </c>
      <c r="G92" s="1">
        <v>0.05</v>
      </c>
      <c r="H92" s="1">
        <v>8</v>
      </c>
    </row>
    <row r="93" spans="1:8" x14ac:dyDescent="0.5">
      <c r="A93" s="1">
        <v>6</v>
      </c>
      <c r="B93" s="1" t="s">
        <v>125</v>
      </c>
      <c r="C93" s="1" t="s">
        <v>126</v>
      </c>
      <c r="D93" s="1">
        <v>86</v>
      </c>
      <c r="E93" s="1">
        <v>1</v>
      </c>
      <c r="F93" s="1">
        <v>87</v>
      </c>
      <c r="G93" s="1">
        <v>0.05</v>
      </c>
      <c r="H93" s="1">
        <v>8</v>
      </c>
    </row>
    <row r="94" spans="1:8" x14ac:dyDescent="0.5">
      <c r="A94" s="1">
        <v>7</v>
      </c>
      <c r="B94" s="1" t="s">
        <v>127</v>
      </c>
      <c r="C94" s="1" t="s">
        <v>128</v>
      </c>
      <c r="D94" s="1">
        <v>165</v>
      </c>
      <c r="E94" s="1">
        <v>1</v>
      </c>
      <c r="F94" s="1">
        <v>166</v>
      </c>
      <c r="G94" s="1">
        <v>0.09</v>
      </c>
      <c r="H94" s="1">
        <v>8</v>
      </c>
    </row>
    <row r="95" spans="1:8" x14ac:dyDescent="0.5">
      <c r="A95" s="1">
        <v>8</v>
      </c>
      <c r="B95" s="1" t="s">
        <v>129</v>
      </c>
      <c r="C95" s="1" t="s">
        <v>33</v>
      </c>
      <c r="D95" s="1">
        <v>61</v>
      </c>
      <c r="E95" s="1">
        <v>0</v>
      </c>
      <c r="F95" s="1">
        <v>61</v>
      </c>
      <c r="G95" s="1">
        <v>0.03</v>
      </c>
      <c r="H95" s="1">
        <v>8</v>
      </c>
    </row>
    <row r="96" spans="1:8" x14ac:dyDescent="0.5">
      <c r="A96" s="1">
        <v>9</v>
      </c>
      <c r="B96" s="1" t="s">
        <v>130</v>
      </c>
      <c r="C96" s="1" t="s">
        <v>63</v>
      </c>
      <c r="D96" s="1">
        <v>84</v>
      </c>
      <c r="E96" s="1">
        <v>0</v>
      </c>
      <c r="F96" s="1">
        <v>84</v>
      </c>
      <c r="G96" s="1">
        <v>0.04</v>
      </c>
      <c r="H96" s="1">
        <v>8</v>
      </c>
    </row>
    <row r="97" spans="1:8" x14ac:dyDescent="0.5">
      <c r="A97" s="1">
        <v>10</v>
      </c>
      <c r="B97" s="1" t="s">
        <v>131</v>
      </c>
      <c r="C97" s="1" t="s">
        <v>18</v>
      </c>
      <c r="D97" s="1">
        <v>112</v>
      </c>
      <c r="E97" s="1">
        <v>3</v>
      </c>
      <c r="F97" s="1">
        <v>115</v>
      </c>
      <c r="G97" s="1">
        <v>0.06</v>
      </c>
      <c r="H97" s="1">
        <v>8</v>
      </c>
    </row>
    <row r="98" spans="1:8" x14ac:dyDescent="0.5">
      <c r="A98" s="1">
        <v>11</v>
      </c>
      <c r="B98" s="1" t="s">
        <v>132</v>
      </c>
      <c r="C98" s="1" t="s">
        <v>18</v>
      </c>
      <c r="D98" s="1">
        <v>128</v>
      </c>
      <c r="E98" s="1">
        <v>1</v>
      </c>
      <c r="F98" s="1">
        <v>129</v>
      </c>
      <c r="G98" s="1">
        <v>7.0000000000000007E-2</v>
      </c>
      <c r="H98" s="1">
        <v>8</v>
      </c>
    </row>
    <row r="99" spans="1:8" x14ac:dyDescent="0.5">
      <c r="A99" s="1">
        <v>12</v>
      </c>
      <c r="B99" s="1" t="s">
        <v>133</v>
      </c>
      <c r="C99" s="1" t="s">
        <v>18</v>
      </c>
      <c r="D99" s="1">
        <v>8621</v>
      </c>
      <c r="E99" s="1">
        <v>34</v>
      </c>
      <c r="F99" s="1">
        <v>8655</v>
      </c>
      <c r="G99" s="1">
        <v>4.53</v>
      </c>
      <c r="H99" s="1">
        <v>8</v>
      </c>
    </row>
    <row r="100" spans="1:8" x14ac:dyDescent="0.5">
      <c r="A100" s="1">
        <v>13</v>
      </c>
      <c r="B100" s="1" t="s">
        <v>134</v>
      </c>
      <c r="C100" s="1" t="s">
        <v>18</v>
      </c>
      <c r="D100" s="1">
        <v>408</v>
      </c>
      <c r="E100" s="1">
        <v>0</v>
      </c>
      <c r="F100" s="1">
        <v>408</v>
      </c>
      <c r="G100" s="1">
        <v>0.21</v>
      </c>
      <c r="H100" s="1">
        <v>8</v>
      </c>
    </row>
    <row r="101" spans="1:8" x14ac:dyDescent="0.5">
      <c r="A101" s="1">
        <v>14</v>
      </c>
      <c r="B101" s="1" t="s">
        <v>20</v>
      </c>
      <c r="C101" s="1" t="s">
        <v>21</v>
      </c>
      <c r="D101" s="1">
        <v>1076</v>
      </c>
      <c r="E101" s="1">
        <v>12</v>
      </c>
      <c r="F101" s="1">
        <v>1088</v>
      </c>
      <c r="G101" s="1">
        <v>0.56999999999999995</v>
      </c>
      <c r="H101" s="1">
        <v>8</v>
      </c>
    </row>
    <row r="102" spans="1:8" x14ac:dyDescent="0.5">
      <c r="A102" s="18">
        <v>1</v>
      </c>
      <c r="B102" s="18" t="s">
        <v>135</v>
      </c>
      <c r="C102" s="18" t="s">
        <v>12</v>
      </c>
      <c r="D102" s="18">
        <v>105660</v>
      </c>
      <c r="E102" s="18">
        <v>120</v>
      </c>
      <c r="F102" s="18">
        <v>105780</v>
      </c>
      <c r="G102" s="18">
        <v>52.26</v>
      </c>
      <c r="H102" s="18">
        <v>9</v>
      </c>
    </row>
    <row r="103" spans="1:8" x14ac:dyDescent="0.5">
      <c r="A103" s="1">
        <v>2</v>
      </c>
      <c r="B103" s="1" t="s">
        <v>136</v>
      </c>
      <c r="C103" s="1" t="s">
        <v>23</v>
      </c>
      <c r="D103" s="1">
        <v>2116</v>
      </c>
      <c r="E103" s="1">
        <v>12</v>
      </c>
      <c r="F103" s="1">
        <v>2128</v>
      </c>
      <c r="G103" s="1">
        <v>1.05</v>
      </c>
      <c r="H103" s="1">
        <v>9</v>
      </c>
    </row>
    <row r="104" spans="1:8" x14ac:dyDescent="0.5">
      <c r="A104" s="2">
        <v>3</v>
      </c>
      <c r="B104" s="2" t="s">
        <v>137</v>
      </c>
      <c r="C104" s="3" t="s">
        <v>782</v>
      </c>
      <c r="D104" s="2">
        <v>83749</v>
      </c>
      <c r="E104" s="2">
        <v>160</v>
      </c>
      <c r="F104" s="2">
        <v>83909</v>
      </c>
      <c r="G104" s="2">
        <v>41.45</v>
      </c>
      <c r="H104" s="2">
        <v>9</v>
      </c>
    </row>
    <row r="105" spans="1:8" x14ac:dyDescent="0.5">
      <c r="A105" s="1">
        <v>4</v>
      </c>
      <c r="B105" s="1" t="s">
        <v>138</v>
      </c>
      <c r="C105" s="1" t="s">
        <v>9</v>
      </c>
      <c r="D105" s="1">
        <v>6847</v>
      </c>
      <c r="E105" s="1">
        <v>17</v>
      </c>
      <c r="F105" s="1">
        <v>6864</v>
      </c>
      <c r="G105" s="1">
        <v>3.39</v>
      </c>
      <c r="H105" s="1">
        <v>9</v>
      </c>
    </row>
    <row r="106" spans="1:8" x14ac:dyDescent="0.5">
      <c r="A106" s="1">
        <v>5</v>
      </c>
      <c r="B106" s="1" t="s">
        <v>139</v>
      </c>
      <c r="C106" s="1" t="s">
        <v>140</v>
      </c>
      <c r="D106" s="1">
        <v>208</v>
      </c>
      <c r="E106" s="1">
        <v>0</v>
      </c>
      <c r="F106" s="1">
        <v>208</v>
      </c>
      <c r="G106" s="1">
        <v>0.1</v>
      </c>
      <c r="H106" s="1">
        <v>9</v>
      </c>
    </row>
    <row r="107" spans="1:8" x14ac:dyDescent="0.5">
      <c r="A107" s="1">
        <v>6</v>
      </c>
      <c r="B107" s="1" t="s">
        <v>141</v>
      </c>
      <c r="C107" s="1" t="s">
        <v>16</v>
      </c>
      <c r="D107" s="1">
        <v>885</v>
      </c>
      <c r="E107" s="1">
        <v>0</v>
      </c>
      <c r="F107" s="1">
        <v>885</v>
      </c>
      <c r="G107" s="1">
        <v>0.44</v>
      </c>
      <c r="H107" s="1">
        <v>9</v>
      </c>
    </row>
    <row r="108" spans="1:8" x14ac:dyDescent="0.5">
      <c r="A108" s="1">
        <v>7</v>
      </c>
      <c r="B108" s="1" t="s">
        <v>142</v>
      </c>
      <c r="C108" s="1" t="s">
        <v>143</v>
      </c>
      <c r="D108" s="1">
        <v>212</v>
      </c>
      <c r="E108" s="1">
        <v>0</v>
      </c>
      <c r="F108" s="1">
        <v>212</v>
      </c>
      <c r="G108" s="1">
        <v>0.1</v>
      </c>
      <c r="H108" s="1">
        <v>9</v>
      </c>
    </row>
    <row r="109" spans="1:8" x14ac:dyDescent="0.5">
      <c r="A109" s="1">
        <v>8</v>
      </c>
      <c r="B109" s="1" t="s">
        <v>144</v>
      </c>
      <c r="C109" s="1" t="s">
        <v>18</v>
      </c>
      <c r="D109" s="1">
        <v>588</v>
      </c>
      <c r="E109" s="1">
        <v>0</v>
      </c>
      <c r="F109" s="1">
        <v>588</v>
      </c>
      <c r="G109" s="1">
        <v>0.28999999999999998</v>
      </c>
      <c r="H109" s="1">
        <v>9</v>
      </c>
    </row>
    <row r="110" spans="1:8" x14ac:dyDescent="0.5">
      <c r="A110" s="1">
        <v>9</v>
      </c>
      <c r="B110" s="1" t="s">
        <v>145</v>
      </c>
      <c r="C110" s="1" t="s">
        <v>18</v>
      </c>
      <c r="D110" s="1">
        <v>472</v>
      </c>
      <c r="E110" s="1">
        <v>1</v>
      </c>
      <c r="F110" s="1">
        <v>473</v>
      </c>
      <c r="G110" s="1">
        <v>0.23</v>
      </c>
      <c r="H110" s="1">
        <v>9</v>
      </c>
    </row>
    <row r="111" spans="1:8" x14ac:dyDescent="0.5">
      <c r="A111" s="1">
        <v>10</v>
      </c>
      <c r="B111" s="1" t="s">
        <v>20</v>
      </c>
      <c r="C111" s="1" t="s">
        <v>21</v>
      </c>
      <c r="D111" s="1">
        <v>1363</v>
      </c>
      <c r="E111" s="1">
        <v>3</v>
      </c>
      <c r="F111" s="1">
        <v>1366</v>
      </c>
      <c r="G111" s="1">
        <v>0.67</v>
      </c>
      <c r="H111" s="1">
        <v>9</v>
      </c>
    </row>
    <row r="112" spans="1:8" x14ac:dyDescent="0.5">
      <c r="A112" s="2">
        <v>1</v>
      </c>
      <c r="B112" s="2" t="s">
        <v>146</v>
      </c>
      <c r="C112" s="3" t="s">
        <v>782</v>
      </c>
      <c r="D112" s="2">
        <v>41549</v>
      </c>
      <c r="E112" s="2">
        <v>92</v>
      </c>
      <c r="F112" s="2">
        <v>41641</v>
      </c>
      <c r="G112" s="2">
        <v>36.909999999999997</v>
      </c>
      <c r="H112" s="2">
        <v>10</v>
      </c>
    </row>
    <row r="113" spans="1:8" x14ac:dyDescent="0.5">
      <c r="A113" s="1">
        <v>2</v>
      </c>
      <c r="B113" s="1" t="s">
        <v>98</v>
      </c>
      <c r="C113" s="1" t="s">
        <v>23</v>
      </c>
      <c r="D113" s="1">
        <v>1882</v>
      </c>
      <c r="E113" s="1">
        <v>3</v>
      </c>
      <c r="F113" s="1">
        <v>1885</v>
      </c>
      <c r="G113" s="1">
        <v>1.67</v>
      </c>
      <c r="H113" s="1">
        <v>10</v>
      </c>
    </row>
    <row r="114" spans="1:8" x14ac:dyDescent="0.5">
      <c r="A114" s="1">
        <v>3</v>
      </c>
      <c r="B114" s="1" t="s">
        <v>147</v>
      </c>
      <c r="C114" s="1" t="s">
        <v>9</v>
      </c>
      <c r="D114" s="1">
        <v>8671</v>
      </c>
      <c r="E114" s="1">
        <v>17</v>
      </c>
      <c r="F114" s="1">
        <v>8688</v>
      </c>
      <c r="G114" s="1">
        <v>7.7</v>
      </c>
      <c r="H114" s="1">
        <v>10</v>
      </c>
    </row>
    <row r="115" spans="1:8" x14ac:dyDescent="0.5">
      <c r="A115" s="18">
        <v>4</v>
      </c>
      <c r="B115" s="18" t="s">
        <v>148</v>
      </c>
      <c r="C115" s="18" t="s">
        <v>12</v>
      </c>
      <c r="D115" s="18">
        <v>58687</v>
      </c>
      <c r="E115" s="18">
        <v>80</v>
      </c>
      <c r="F115" s="18">
        <v>58767</v>
      </c>
      <c r="G115" s="18">
        <v>52.09</v>
      </c>
      <c r="H115" s="18">
        <v>10</v>
      </c>
    </row>
    <row r="116" spans="1:8" x14ac:dyDescent="0.5">
      <c r="A116" s="1">
        <v>5</v>
      </c>
      <c r="B116" s="1" t="s">
        <v>149</v>
      </c>
      <c r="C116" s="1" t="s">
        <v>150</v>
      </c>
      <c r="D116" s="1">
        <v>151</v>
      </c>
      <c r="E116" s="1">
        <v>0</v>
      </c>
      <c r="F116" s="1">
        <v>151</v>
      </c>
      <c r="G116" s="1">
        <v>0.13</v>
      </c>
      <c r="H116" s="1">
        <v>10</v>
      </c>
    </row>
    <row r="117" spans="1:8" x14ac:dyDescent="0.5">
      <c r="A117" s="1">
        <v>6</v>
      </c>
      <c r="B117" s="1" t="s">
        <v>151</v>
      </c>
      <c r="C117" s="1" t="s">
        <v>108</v>
      </c>
      <c r="D117" s="1">
        <v>555</v>
      </c>
      <c r="E117" s="1">
        <v>0</v>
      </c>
      <c r="F117" s="1">
        <v>555</v>
      </c>
      <c r="G117" s="1">
        <v>0.49</v>
      </c>
      <c r="H117" s="1">
        <v>10</v>
      </c>
    </row>
    <row r="118" spans="1:8" x14ac:dyDescent="0.5">
      <c r="A118" s="1">
        <v>7</v>
      </c>
      <c r="B118" s="1" t="s">
        <v>152</v>
      </c>
      <c r="C118" s="1" t="s">
        <v>103</v>
      </c>
      <c r="D118" s="1">
        <v>82</v>
      </c>
      <c r="E118" s="1">
        <v>0</v>
      </c>
      <c r="F118" s="1">
        <v>82</v>
      </c>
      <c r="G118" s="1">
        <v>7.0000000000000007E-2</v>
      </c>
      <c r="H118" s="1">
        <v>10</v>
      </c>
    </row>
    <row r="119" spans="1:8" x14ac:dyDescent="0.5">
      <c r="A119" s="1">
        <v>8</v>
      </c>
      <c r="B119" s="1" t="s">
        <v>153</v>
      </c>
      <c r="C119" s="1" t="s">
        <v>89</v>
      </c>
      <c r="D119" s="1">
        <v>91</v>
      </c>
      <c r="E119" s="1">
        <v>0</v>
      </c>
      <c r="F119" s="1">
        <v>91</v>
      </c>
      <c r="G119" s="1">
        <v>0.08</v>
      </c>
      <c r="H119" s="1">
        <v>10</v>
      </c>
    </row>
    <row r="120" spans="1:8" x14ac:dyDescent="0.5">
      <c r="A120" s="1">
        <v>9</v>
      </c>
      <c r="B120" s="1" t="s">
        <v>154</v>
      </c>
      <c r="C120" s="1" t="s">
        <v>55</v>
      </c>
      <c r="D120" s="1">
        <v>70</v>
      </c>
      <c r="E120" s="1">
        <v>0</v>
      </c>
      <c r="F120" s="1">
        <v>70</v>
      </c>
      <c r="G120" s="1">
        <v>0.06</v>
      </c>
      <c r="H120" s="1">
        <v>10</v>
      </c>
    </row>
    <row r="121" spans="1:8" x14ac:dyDescent="0.5">
      <c r="A121" s="1">
        <v>10</v>
      </c>
      <c r="B121" s="1" t="s">
        <v>155</v>
      </c>
      <c r="C121" s="1" t="s">
        <v>156</v>
      </c>
      <c r="D121" s="1">
        <v>72</v>
      </c>
      <c r="E121" s="1">
        <v>0</v>
      </c>
      <c r="F121" s="1">
        <v>72</v>
      </c>
      <c r="G121" s="1">
        <v>0.06</v>
      </c>
      <c r="H121" s="1">
        <v>10</v>
      </c>
    </row>
    <row r="122" spans="1:8" x14ac:dyDescent="0.5">
      <c r="A122" s="1">
        <v>11</v>
      </c>
      <c r="B122" s="1" t="s">
        <v>157</v>
      </c>
      <c r="C122" s="1" t="s">
        <v>18</v>
      </c>
      <c r="D122" s="1">
        <v>177</v>
      </c>
      <c r="E122" s="1">
        <v>0</v>
      </c>
      <c r="F122" s="1">
        <v>177</v>
      </c>
      <c r="G122" s="1">
        <v>0.16</v>
      </c>
      <c r="H122" s="1">
        <v>10</v>
      </c>
    </row>
    <row r="123" spans="1:8" x14ac:dyDescent="0.5">
      <c r="A123" s="1">
        <v>12</v>
      </c>
      <c r="B123" s="1" t="s">
        <v>158</v>
      </c>
      <c r="C123" s="1" t="s">
        <v>18</v>
      </c>
      <c r="D123" s="1">
        <v>150</v>
      </c>
      <c r="E123" s="1">
        <v>2</v>
      </c>
      <c r="F123" s="1">
        <v>152</v>
      </c>
      <c r="G123" s="1">
        <v>0.13</v>
      </c>
      <c r="H123" s="1">
        <v>10</v>
      </c>
    </row>
    <row r="124" spans="1:8" x14ac:dyDescent="0.5">
      <c r="A124" s="1">
        <v>13</v>
      </c>
      <c r="B124" s="1" t="s">
        <v>20</v>
      </c>
      <c r="C124" s="1" t="s">
        <v>21</v>
      </c>
      <c r="D124" s="1">
        <v>488</v>
      </c>
      <c r="E124" s="1">
        <v>6</v>
      </c>
      <c r="F124" s="1">
        <v>494</v>
      </c>
      <c r="G124" s="1">
        <v>0.44</v>
      </c>
      <c r="H124" s="1">
        <v>10</v>
      </c>
    </row>
    <row r="125" spans="1:8" x14ac:dyDescent="0.5">
      <c r="A125" s="16">
        <v>1</v>
      </c>
      <c r="B125" s="16" t="s">
        <v>159</v>
      </c>
      <c r="C125" s="17" t="s">
        <v>782</v>
      </c>
      <c r="D125" s="16">
        <v>74950</v>
      </c>
      <c r="E125" s="16">
        <v>322</v>
      </c>
      <c r="F125" s="16">
        <v>75272</v>
      </c>
      <c r="G125" s="16">
        <v>47.25</v>
      </c>
      <c r="H125" s="16">
        <v>11</v>
      </c>
    </row>
    <row r="126" spans="1:8" x14ac:dyDescent="0.5">
      <c r="A126" s="1">
        <v>2</v>
      </c>
      <c r="B126" s="1" t="s">
        <v>160</v>
      </c>
      <c r="C126" s="1" t="s">
        <v>23</v>
      </c>
      <c r="D126" s="1">
        <v>792</v>
      </c>
      <c r="E126" s="1">
        <v>3</v>
      </c>
      <c r="F126" s="1">
        <v>795</v>
      </c>
      <c r="G126" s="1">
        <v>0.5</v>
      </c>
      <c r="H126" s="1">
        <v>11</v>
      </c>
    </row>
    <row r="127" spans="1:8" x14ac:dyDescent="0.5">
      <c r="A127" s="1">
        <v>3</v>
      </c>
      <c r="B127" s="1" t="s">
        <v>161</v>
      </c>
      <c r="C127" s="1" t="s">
        <v>12</v>
      </c>
      <c r="D127" s="1">
        <v>48907</v>
      </c>
      <c r="E127" s="1">
        <v>114</v>
      </c>
      <c r="F127" s="1">
        <v>49021</v>
      </c>
      <c r="G127" s="1">
        <v>30.77</v>
      </c>
      <c r="H127" s="1">
        <v>11</v>
      </c>
    </row>
    <row r="128" spans="1:8" x14ac:dyDescent="0.5">
      <c r="A128" s="1">
        <v>4</v>
      </c>
      <c r="B128" s="1" t="s">
        <v>162</v>
      </c>
      <c r="C128" s="1" t="s">
        <v>9</v>
      </c>
      <c r="D128" s="1">
        <v>31918</v>
      </c>
      <c r="E128" s="1">
        <v>110</v>
      </c>
      <c r="F128" s="1">
        <v>32028</v>
      </c>
      <c r="G128" s="1">
        <v>20.100000000000001</v>
      </c>
      <c r="H128" s="1">
        <v>11</v>
      </c>
    </row>
    <row r="129" spans="1:8" x14ac:dyDescent="0.5">
      <c r="A129" s="1">
        <v>5</v>
      </c>
      <c r="B129" s="1" t="s">
        <v>163</v>
      </c>
      <c r="C129" s="1" t="s">
        <v>143</v>
      </c>
      <c r="D129" s="1">
        <v>162</v>
      </c>
      <c r="E129" s="1">
        <v>0</v>
      </c>
      <c r="F129" s="1">
        <v>162</v>
      </c>
      <c r="G129" s="1">
        <v>0.1</v>
      </c>
      <c r="H129" s="1">
        <v>11</v>
      </c>
    </row>
    <row r="130" spans="1:8" x14ac:dyDescent="0.5">
      <c r="A130" s="1">
        <v>6</v>
      </c>
      <c r="B130" s="1" t="s">
        <v>164</v>
      </c>
      <c r="C130" s="1" t="s">
        <v>156</v>
      </c>
      <c r="D130" s="1">
        <v>152</v>
      </c>
      <c r="E130" s="1">
        <v>0</v>
      </c>
      <c r="F130" s="1">
        <v>152</v>
      </c>
      <c r="G130" s="1">
        <v>0.1</v>
      </c>
      <c r="H130" s="1">
        <v>11</v>
      </c>
    </row>
    <row r="131" spans="1:8" x14ac:dyDescent="0.5">
      <c r="A131" s="1">
        <v>7</v>
      </c>
      <c r="B131" s="1" t="s">
        <v>165</v>
      </c>
      <c r="C131" s="1" t="s">
        <v>166</v>
      </c>
      <c r="D131" s="1">
        <v>389</v>
      </c>
      <c r="E131" s="1">
        <v>1</v>
      </c>
      <c r="F131" s="1">
        <v>390</v>
      </c>
      <c r="G131" s="1">
        <v>0.24</v>
      </c>
      <c r="H131" s="1">
        <v>11</v>
      </c>
    </row>
    <row r="132" spans="1:8" x14ac:dyDescent="0.5">
      <c r="A132" s="1">
        <v>8</v>
      </c>
      <c r="B132" s="1" t="s">
        <v>167</v>
      </c>
      <c r="C132" s="1" t="s">
        <v>60</v>
      </c>
      <c r="D132" s="1">
        <v>204</v>
      </c>
      <c r="E132" s="1">
        <v>1</v>
      </c>
      <c r="F132" s="1">
        <v>205</v>
      </c>
      <c r="G132" s="1">
        <v>0.13</v>
      </c>
      <c r="H132" s="1">
        <v>11</v>
      </c>
    </row>
    <row r="133" spans="1:8" x14ac:dyDescent="0.5">
      <c r="A133" s="1">
        <v>9</v>
      </c>
      <c r="B133" s="1" t="s">
        <v>168</v>
      </c>
      <c r="C133" s="1" t="s">
        <v>18</v>
      </c>
      <c r="D133" s="1">
        <v>373</v>
      </c>
      <c r="E133" s="1">
        <v>0</v>
      </c>
      <c r="F133" s="1">
        <v>373</v>
      </c>
      <c r="G133" s="1">
        <v>0.23</v>
      </c>
      <c r="H133" s="1">
        <v>11</v>
      </c>
    </row>
    <row r="134" spans="1:8" x14ac:dyDescent="0.5">
      <c r="A134" s="1">
        <v>10</v>
      </c>
      <c r="B134" s="1" t="s">
        <v>20</v>
      </c>
      <c r="C134" s="1" t="s">
        <v>21</v>
      </c>
      <c r="D134" s="1">
        <v>915</v>
      </c>
      <c r="E134" s="1">
        <v>9</v>
      </c>
      <c r="F134" s="1">
        <v>924</v>
      </c>
      <c r="G134" s="1">
        <v>0.57999999999999996</v>
      </c>
      <c r="H134" s="1">
        <v>11</v>
      </c>
    </row>
    <row r="135" spans="1:8" x14ac:dyDescent="0.5">
      <c r="A135" s="1">
        <v>1</v>
      </c>
      <c r="B135" s="1" t="s">
        <v>169</v>
      </c>
      <c r="C135" s="1" t="s">
        <v>12</v>
      </c>
      <c r="D135" s="1">
        <v>55659</v>
      </c>
      <c r="E135" s="1">
        <v>93</v>
      </c>
      <c r="F135" s="1">
        <v>55752</v>
      </c>
      <c r="G135" s="1">
        <v>45.16</v>
      </c>
      <c r="H135" s="1">
        <v>12</v>
      </c>
    </row>
    <row r="136" spans="1:8" x14ac:dyDescent="0.5">
      <c r="A136" s="1">
        <v>2</v>
      </c>
      <c r="B136" s="1" t="s">
        <v>160</v>
      </c>
      <c r="C136" s="1" t="s">
        <v>23</v>
      </c>
      <c r="D136" s="1">
        <v>721</v>
      </c>
      <c r="E136" s="1">
        <v>3</v>
      </c>
      <c r="F136" s="1">
        <v>724</v>
      </c>
      <c r="G136" s="1">
        <v>0.59</v>
      </c>
      <c r="H136" s="1">
        <v>12</v>
      </c>
    </row>
    <row r="137" spans="1:8" x14ac:dyDescent="0.5">
      <c r="A137" s="16">
        <v>3</v>
      </c>
      <c r="B137" s="16" t="s">
        <v>170</v>
      </c>
      <c r="C137" s="17" t="s">
        <v>782</v>
      </c>
      <c r="D137" s="16">
        <v>61805</v>
      </c>
      <c r="E137" s="16">
        <v>202</v>
      </c>
      <c r="F137" s="16">
        <v>62007</v>
      </c>
      <c r="G137" s="16">
        <v>50.23</v>
      </c>
      <c r="H137" s="16">
        <v>12</v>
      </c>
    </row>
    <row r="138" spans="1:8" x14ac:dyDescent="0.5">
      <c r="A138" s="1">
        <v>4</v>
      </c>
      <c r="B138" s="1" t="s">
        <v>171</v>
      </c>
      <c r="C138" s="1" t="s">
        <v>9</v>
      </c>
      <c r="D138" s="1">
        <v>3761</v>
      </c>
      <c r="E138" s="1">
        <v>23</v>
      </c>
      <c r="F138" s="1">
        <v>3784</v>
      </c>
      <c r="G138" s="1">
        <v>3.07</v>
      </c>
      <c r="H138" s="1">
        <v>12</v>
      </c>
    </row>
    <row r="139" spans="1:8" x14ac:dyDescent="0.5">
      <c r="A139" s="1">
        <v>5</v>
      </c>
      <c r="B139" s="1" t="s">
        <v>172</v>
      </c>
      <c r="C139" s="1" t="s">
        <v>173</v>
      </c>
      <c r="D139" s="1">
        <v>171</v>
      </c>
      <c r="E139" s="1">
        <v>0</v>
      </c>
      <c r="F139" s="1">
        <v>171</v>
      </c>
      <c r="G139" s="1">
        <v>0.14000000000000001</v>
      </c>
      <c r="H139" s="1">
        <v>12</v>
      </c>
    </row>
    <row r="140" spans="1:8" x14ac:dyDescent="0.5">
      <c r="A140" s="1">
        <v>6</v>
      </c>
      <c r="B140" s="1" t="s">
        <v>174</v>
      </c>
      <c r="C140" s="1" t="s">
        <v>18</v>
      </c>
      <c r="D140" s="1">
        <v>250</v>
      </c>
      <c r="E140" s="1">
        <v>0</v>
      </c>
      <c r="F140" s="1">
        <v>250</v>
      </c>
      <c r="G140" s="1">
        <v>0.2</v>
      </c>
      <c r="H140" s="1">
        <v>12</v>
      </c>
    </row>
    <row r="141" spans="1:8" x14ac:dyDescent="0.5">
      <c r="A141" s="1">
        <v>7</v>
      </c>
      <c r="B141" s="1" t="s">
        <v>20</v>
      </c>
      <c r="C141" s="1" t="s">
        <v>21</v>
      </c>
      <c r="D141" s="1">
        <v>760</v>
      </c>
      <c r="E141" s="1">
        <v>2</v>
      </c>
      <c r="F141" s="1">
        <v>762</v>
      </c>
      <c r="G141" s="1">
        <v>0.62</v>
      </c>
      <c r="H141" s="1">
        <v>12</v>
      </c>
    </row>
    <row r="142" spans="1:8" x14ac:dyDescent="0.5">
      <c r="A142" s="1">
        <v>1</v>
      </c>
      <c r="B142" s="1" t="s">
        <v>175</v>
      </c>
      <c r="C142" s="1" t="s">
        <v>12</v>
      </c>
      <c r="D142" s="1">
        <v>32442</v>
      </c>
      <c r="E142" s="1">
        <v>107</v>
      </c>
      <c r="F142" s="1">
        <v>32549</v>
      </c>
      <c r="G142" s="1">
        <v>30.07</v>
      </c>
      <c r="H142" s="1">
        <v>13</v>
      </c>
    </row>
    <row r="143" spans="1:8" x14ac:dyDescent="0.5">
      <c r="A143" s="16">
        <v>2</v>
      </c>
      <c r="B143" s="16" t="s">
        <v>176</v>
      </c>
      <c r="C143" s="17" t="s">
        <v>782</v>
      </c>
      <c r="D143" s="16">
        <v>69890</v>
      </c>
      <c r="E143" s="16">
        <v>475</v>
      </c>
      <c r="F143" s="16">
        <v>70365</v>
      </c>
      <c r="G143" s="16">
        <v>65.010000000000005</v>
      </c>
      <c r="H143" s="16">
        <v>13</v>
      </c>
    </row>
    <row r="144" spans="1:8" x14ac:dyDescent="0.5">
      <c r="A144" s="1">
        <v>3</v>
      </c>
      <c r="B144" s="1" t="s">
        <v>177</v>
      </c>
      <c r="C144" s="1" t="s">
        <v>9</v>
      </c>
      <c r="D144" s="1">
        <v>3721</v>
      </c>
      <c r="E144" s="1">
        <v>44</v>
      </c>
      <c r="F144" s="1">
        <v>3765</v>
      </c>
      <c r="G144" s="1">
        <v>3.48</v>
      </c>
      <c r="H144" s="1">
        <v>13</v>
      </c>
    </row>
    <row r="145" spans="1:8" x14ac:dyDescent="0.5">
      <c r="A145" s="1">
        <v>4</v>
      </c>
      <c r="B145" s="1" t="s">
        <v>178</v>
      </c>
      <c r="C145" s="1" t="s">
        <v>23</v>
      </c>
      <c r="D145" s="1">
        <v>194</v>
      </c>
      <c r="E145" s="1">
        <v>3</v>
      </c>
      <c r="F145" s="1">
        <v>197</v>
      </c>
      <c r="G145" s="1">
        <v>0.18</v>
      </c>
      <c r="H145" s="1">
        <v>13</v>
      </c>
    </row>
    <row r="146" spans="1:8" x14ac:dyDescent="0.5">
      <c r="A146" s="1">
        <v>5</v>
      </c>
      <c r="B146" s="1" t="s">
        <v>179</v>
      </c>
      <c r="C146" s="1" t="s">
        <v>108</v>
      </c>
      <c r="D146" s="1">
        <v>118</v>
      </c>
      <c r="E146" s="1">
        <v>0</v>
      </c>
      <c r="F146" s="1">
        <v>118</v>
      </c>
      <c r="G146" s="1">
        <v>0.11</v>
      </c>
      <c r="H146" s="1">
        <v>13</v>
      </c>
    </row>
    <row r="147" spans="1:8" x14ac:dyDescent="0.5">
      <c r="A147" s="1">
        <v>6</v>
      </c>
      <c r="B147" s="1" t="s">
        <v>180</v>
      </c>
      <c r="C147" s="1" t="s">
        <v>57</v>
      </c>
      <c r="D147" s="1">
        <v>91</v>
      </c>
      <c r="E147" s="1">
        <v>1</v>
      </c>
      <c r="F147" s="1">
        <v>92</v>
      </c>
      <c r="G147" s="1">
        <v>0.09</v>
      </c>
      <c r="H147" s="1">
        <v>13</v>
      </c>
    </row>
    <row r="148" spans="1:8" x14ac:dyDescent="0.5">
      <c r="A148" s="1">
        <v>7</v>
      </c>
      <c r="B148" s="1" t="s">
        <v>181</v>
      </c>
      <c r="C148" s="1" t="s">
        <v>18</v>
      </c>
      <c r="D148" s="1">
        <v>52</v>
      </c>
      <c r="E148" s="1">
        <v>2</v>
      </c>
      <c r="F148" s="1">
        <v>54</v>
      </c>
      <c r="G148" s="1">
        <v>0.05</v>
      </c>
      <c r="H148" s="1">
        <v>13</v>
      </c>
    </row>
    <row r="149" spans="1:8" x14ac:dyDescent="0.5">
      <c r="A149" s="1">
        <v>8</v>
      </c>
      <c r="B149" s="1" t="s">
        <v>182</v>
      </c>
      <c r="C149" s="1" t="s">
        <v>18</v>
      </c>
      <c r="D149" s="1">
        <v>62</v>
      </c>
      <c r="E149" s="1">
        <v>0</v>
      </c>
      <c r="F149" s="1">
        <v>62</v>
      </c>
      <c r="G149" s="1">
        <v>0.06</v>
      </c>
      <c r="H149" s="1">
        <v>13</v>
      </c>
    </row>
    <row r="150" spans="1:8" x14ac:dyDescent="0.5">
      <c r="A150" s="1">
        <v>9</v>
      </c>
      <c r="B150" s="1" t="s">
        <v>20</v>
      </c>
      <c r="C150" s="1" t="s">
        <v>21</v>
      </c>
      <c r="D150" s="1">
        <v>1027</v>
      </c>
      <c r="E150" s="1">
        <v>4</v>
      </c>
      <c r="F150" s="1">
        <v>1031</v>
      </c>
      <c r="G150" s="1">
        <v>0.95</v>
      </c>
      <c r="H150" s="1">
        <v>13</v>
      </c>
    </row>
    <row r="151" spans="1:8" x14ac:dyDescent="0.5">
      <c r="A151" s="1">
        <v>1</v>
      </c>
      <c r="B151" s="1" t="s">
        <v>183</v>
      </c>
      <c r="C151" s="1" t="s">
        <v>9</v>
      </c>
      <c r="D151" s="1">
        <v>4845</v>
      </c>
      <c r="E151" s="1">
        <v>47</v>
      </c>
      <c r="F151" s="1">
        <v>4892</v>
      </c>
      <c r="G151" s="1">
        <v>4.3</v>
      </c>
      <c r="H151" s="1">
        <v>14</v>
      </c>
    </row>
    <row r="152" spans="1:8" x14ac:dyDescent="0.5">
      <c r="A152" s="1">
        <v>2</v>
      </c>
      <c r="B152" s="1" t="s">
        <v>184</v>
      </c>
      <c r="C152" s="1" t="s">
        <v>12</v>
      </c>
      <c r="D152" s="1">
        <v>38487</v>
      </c>
      <c r="E152" s="1">
        <v>118</v>
      </c>
      <c r="F152" s="1">
        <v>38605</v>
      </c>
      <c r="G152" s="1">
        <v>33.93</v>
      </c>
      <c r="H152" s="1">
        <v>14</v>
      </c>
    </row>
    <row r="153" spans="1:8" x14ac:dyDescent="0.5">
      <c r="A153" s="16">
        <v>3</v>
      </c>
      <c r="B153" s="16" t="s">
        <v>185</v>
      </c>
      <c r="C153" s="17" t="s">
        <v>782</v>
      </c>
      <c r="D153" s="16">
        <v>67839</v>
      </c>
      <c r="E153" s="16">
        <v>361</v>
      </c>
      <c r="F153" s="16">
        <v>68200</v>
      </c>
      <c r="G153" s="16">
        <v>59.95</v>
      </c>
      <c r="H153" s="16">
        <v>14</v>
      </c>
    </row>
    <row r="154" spans="1:8" x14ac:dyDescent="0.5">
      <c r="A154" s="1">
        <v>4</v>
      </c>
      <c r="B154" s="1" t="s">
        <v>186</v>
      </c>
      <c r="C154" s="1" t="s">
        <v>23</v>
      </c>
      <c r="D154" s="1">
        <v>410</v>
      </c>
      <c r="E154" s="1">
        <v>1</v>
      </c>
      <c r="F154" s="1">
        <v>411</v>
      </c>
      <c r="G154" s="1">
        <v>0.36</v>
      </c>
      <c r="H154" s="1">
        <v>14</v>
      </c>
    </row>
    <row r="155" spans="1:8" x14ac:dyDescent="0.5">
      <c r="A155" s="1">
        <v>5</v>
      </c>
      <c r="B155" s="1" t="s">
        <v>187</v>
      </c>
      <c r="C155" s="1" t="s">
        <v>188</v>
      </c>
      <c r="D155" s="1">
        <v>35</v>
      </c>
      <c r="E155" s="1">
        <v>0</v>
      </c>
      <c r="F155" s="1">
        <v>35</v>
      </c>
      <c r="G155" s="1">
        <v>0.03</v>
      </c>
      <c r="H155" s="1">
        <v>14</v>
      </c>
    </row>
    <row r="156" spans="1:8" x14ac:dyDescent="0.5">
      <c r="A156" s="1">
        <v>6</v>
      </c>
      <c r="B156" s="1" t="s">
        <v>189</v>
      </c>
      <c r="C156" s="1" t="s">
        <v>18</v>
      </c>
      <c r="D156" s="1">
        <v>98</v>
      </c>
      <c r="E156" s="1">
        <v>0</v>
      </c>
      <c r="F156" s="1">
        <v>98</v>
      </c>
      <c r="G156" s="1">
        <v>0.09</v>
      </c>
      <c r="H156" s="1">
        <v>14</v>
      </c>
    </row>
    <row r="157" spans="1:8" x14ac:dyDescent="0.5">
      <c r="A157" s="1">
        <v>7</v>
      </c>
      <c r="B157" s="1" t="s">
        <v>190</v>
      </c>
      <c r="C157" s="1" t="s">
        <v>18</v>
      </c>
      <c r="D157" s="1">
        <v>143</v>
      </c>
      <c r="E157" s="1">
        <v>0</v>
      </c>
      <c r="F157" s="1">
        <v>143</v>
      </c>
      <c r="G157" s="1">
        <v>0.13</v>
      </c>
      <c r="H157" s="1">
        <v>14</v>
      </c>
    </row>
    <row r="158" spans="1:8" x14ac:dyDescent="0.5">
      <c r="A158" s="1">
        <v>8</v>
      </c>
      <c r="B158" s="1" t="s">
        <v>191</v>
      </c>
      <c r="C158" s="1" t="s">
        <v>18</v>
      </c>
      <c r="D158" s="1">
        <v>252</v>
      </c>
      <c r="E158" s="1">
        <v>0</v>
      </c>
      <c r="F158" s="1">
        <v>252</v>
      </c>
      <c r="G158" s="1">
        <v>0.22</v>
      </c>
      <c r="H158" s="1">
        <v>14</v>
      </c>
    </row>
    <row r="159" spans="1:8" x14ac:dyDescent="0.5">
      <c r="A159" s="1">
        <v>9</v>
      </c>
      <c r="B159" s="1" t="s">
        <v>192</v>
      </c>
      <c r="C159" s="1" t="s">
        <v>18</v>
      </c>
      <c r="D159" s="1">
        <v>356</v>
      </c>
      <c r="E159" s="1">
        <v>2</v>
      </c>
      <c r="F159" s="1">
        <v>358</v>
      </c>
      <c r="G159" s="1">
        <v>0.31</v>
      </c>
      <c r="H159" s="1">
        <v>14</v>
      </c>
    </row>
    <row r="160" spans="1:8" x14ac:dyDescent="0.5">
      <c r="A160" s="1">
        <v>10</v>
      </c>
      <c r="B160" s="1" t="s">
        <v>20</v>
      </c>
      <c r="C160" s="1" t="s">
        <v>21</v>
      </c>
      <c r="D160" s="1">
        <v>768</v>
      </c>
      <c r="E160" s="1">
        <v>2</v>
      </c>
      <c r="F160" s="1">
        <v>770</v>
      </c>
      <c r="G160" s="1">
        <v>0.68</v>
      </c>
      <c r="H160" s="1">
        <v>14</v>
      </c>
    </row>
    <row r="161" spans="1:8" x14ac:dyDescent="0.5">
      <c r="A161" s="16">
        <v>1</v>
      </c>
      <c r="B161" s="16" t="s">
        <v>193</v>
      </c>
      <c r="C161" s="17" t="s">
        <v>782</v>
      </c>
      <c r="D161" s="16">
        <v>56570</v>
      </c>
      <c r="E161" s="16">
        <v>299</v>
      </c>
      <c r="F161" s="16">
        <v>56869</v>
      </c>
      <c r="G161" s="16">
        <v>57.07</v>
      </c>
      <c r="H161" s="16">
        <v>15</v>
      </c>
    </row>
    <row r="162" spans="1:8" x14ac:dyDescent="0.5">
      <c r="A162" s="1">
        <v>2</v>
      </c>
      <c r="B162" s="1" t="s">
        <v>194</v>
      </c>
      <c r="C162" s="1" t="s">
        <v>9</v>
      </c>
      <c r="D162" s="1">
        <v>5736</v>
      </c>
      <c r="E162" s="1">
        <v>48</v>
      </c>
      <c r="F162" s="1">
        <v>5784</v>
      </c>
      <c r="G162" s="1">
        <v>5.8</v>
      </c>
      <c r="H162" s="1">
        <v>15</v>
      </c>
    </row>
    <row r="163" spans="1:8" x14ac:dyDescent="0.5">
      <c r="A163" s="1">
        <v>3</v>
      </c>
      <c r="B163" s="1" t="s">
        <v>195</v>
      </c>
      <c r="C163" s="1" t="s">
        <v>12</v>
      </c>
      <c r="D163" s="1">
        <v>35775</v>
      </c>
      <c r="E163" s="1">
        <v>96</v>
      </c>
      <c r="F163" s="1">
        <v>35871</v>
      </c>
      <c r="G163" s="1">
        <v>36</v>
      </c>
      <c r="H163" s="1">
        <v>15</v>
      </c>
    </row>
    <row r="164" spans="1:8" x14ac:dyDescent="0.5">
      <c r="A164" s="1">
        <v>4</v>
      </c>
      <c r="B164" s="1" t="s">
        <v>196</v>
      </c>
      <c r="C164" s="1" t="s">
        <v>23</v>
      </c>
      <c r="D164" s="1">
        <v>164</v>
      </c>
      <c r="E164" s="1">
        <v>0</v>
      </c>
      <c r="F164" s="1">
        <v>164</v>
      </c>
      <c r="G164" s="1">
        <v>0.16</v>
      </c>
      <c r="H164" s="1">
        <v>15</v>
      </c>
    </row>
    <row r="165" spans="1:8" x14ac:dyDescent="0.5">
      <c r="A165" s="1">
        <v>5</v>
      </c>
      <c r="B165" s="1" t="s">
        <v>197</v>
      </c>
      <c r="C165" s="1" t="s">
        <v>103</v>
      </c>
      <c r="D165" s="1">
        <v>115</v>
      </c>
      <c r="E165" s="1">
        <v>0</v>
      </c>
      <c r="F165" s="1">
        <v>115</v>
      </c>
      <c r="G165" s="1">
        <v>0.12</v>
      </c>
      <c r="H165" s="1">
        <v>15</v>
      </c>
    </row>
    <row r="166" spans="1:8" x14ac:dyDescent="0.5">
      <c r="A166" s="1">
        <v>6</v>
      </c>
      <c r="B166" s="1" t="s">
        <v>198</v>
      </c>
      <c r="C166" s="1" t="s">
        <v>199</v>
      </c>
      <c r="D166" s="1">
        <v>99</v>
      </c>
      <c r="E166" s="1">
        <v>1</v>
      </c>
      <c r="F166" s="1">
        <v>100</v>
      </c>
      <c r="G166" s="1">
        <v>0.1</v>
      </c>
      <c r="H166" s="1">
        <v>15</v>
      </c>
    </row>
    <row r="167" spans="1:8" x14ac:dyDescent="0.5">
      <c r="A167" s="1">
        <v>7</v>
      </c>
      <c r="B167" s="1" t="s">
        <v>200</v>
      </c>
      <c r="C167" s="1" t="s">
        <v>18</v>
      </c>
      <c r="D167" s="1">
        <v>76</v>
      </c>
      <c r="E167" s="1">
        <v>0</v>
      </c>
      <c r="F167" s="1">
        <v>76</v>
      </c>
      <c r="G167" s="1">
        <v>0.08</v>
      </c>
      <c r="H167" s="1">
        <v>15</v>
      </c>
    </row>
    <row r="168" spans="1:8" x14ac:dyDescent="0.5">
      <c r="A168" s="1">
        <v>8</v>
      </c>
      <c r="B168" s="1" t="s">
        <v>20</v>
      </c>
      <c r="C168" s="1" t="s">
        <v>21</v>
      </c>
      <c r="D168" s="1">
        <v>672</v>
      </c>
      <c r="E168" s="1">
        <v>1</v>
      </c>
      <c r="F168" s="1">
        <v>673</v>
      </c>
      <c r="G168" s="1">
        <v>0.68</v>
      </c>
      <c r="H168" s="1">
        <v>15</v>
      </c>
    </row>
    <row r="169" spans="1:8" x14ac:dyDescent="0.5">
      <c r="A169" s="16">
        <v>1</v>
      </c>
      <c r="B169" s="16" t="s">
        <v>201</v>
      </c>
      <c r="C169" s="17" t="s">
        <v>782</v>
      </c>
      <c r="D169" s="16">
        <v>58836</v>
      </c>
      <c r="E169" s="16">
        <v>237</v>
      </c>
      <c r="F169" s="16">
        <v>59073</v>
      </c>
      <c r="G169" s="16">
        <v>53.36</v>
      </c>
      <c r="H169" s="16">
        <v>16</v>
      </c>
    </row>
    <row r="170" spans="1:8" x14ac:dyDescent="0.5">
      <c r="A170" s="1">
        <v>2</v>
      </c>
      <c r="B170" s="1" t="s">
        <v>202</v>
      </c>
      <c r="C170" s="1" t="s">
        <v>23</v>
      </c>
      <c r="D170" s="1">
        <v>562</v>
      </c>
      <c r="E170" s="1">
        <v>4</v>
      </c>
      <c r="F170" s="1">
        <v>566</v>
      </c>
      <c r="G170" s="1">
        <v>0.51</v>
      </c>
      <c r="H170" s="1">
        <v>16</v>
      </c>
    </row>
    <row r="171" spans="1:8" x14ac:dyDescent="0.5">
      <c r="A171" s="1">
        <v>3</v>
      </c>
      <c r="B171" s="1" t="s">
        <v>203</v>
      </c>
      <c r="C171" s="1" t="s">
        <v>12</v>
      </c>
      <c r="D171" s="1">
        <v>43083</v>
      </c>
      <c r="E171" s="1">
        <v>94</v>
      </c>
      <c r="F171" s="1">
        <v>43177</v>
      </c>
      <c r="G171" s="1">
        <v>39</v>
      </c>
      <c r="H171" s="1">
        <v>16</v>
      </c>
    </row>
    <row r="172" spans="1:8" x14ac:dyDescent="0.5">
      <c r="A172" s="1">
        <v>4</v>
      </c>
      <c r="B172" s="1" t="s">
        <v>204</v>
      </c>
      <c r="C172" s="1" t="s">
        <v>9</v>
      </c>
      <c r="D172" s="1">
        <v>6867</v>
      </c>
      <c r="E172" s="1">
        <v>30</v>
      </c>
      <c r="F172" s="1">
        <v>6897</v>
      </c>
      <c r="G172" s="1">
        <v>6.23</v>
      </c>
      <c r="H172" s="1">
        <v>16</v>
      </c>
    </row>
    <row r="173" spans="1:8" x14ac:dyDescent="0.5">
      <c r="A173" s="1">
        <v>5</v>
      </c>
      <c r="B173" s="1" t="s">
        <v>205</v>
      </c>
      <c r="C173" s="1" t="s">
        <v>106</v>
      </c>
      <c r="D173" s="1">
        <v>180</v>
      </c>
      <c r="E173" s="1">
        <v>1</v>
      </c>
      <c r="F173" s="1">
        <v>181</v>
      </c>
      <c r="G173" s="1">
        <v>0.16</v>
      </c>
      <c r="H173" s="1">
        <v>16</v>
      </c>
    </row>
    <row r="174" spans="1:8" x14ac:dyDescent="0.5">
      <c r="A174" s="1">
        <v>6</v>
      </c>
      <c r="B174" s="1" t="s">
        <v>206</v>
      </c>
      <c r="C174" s="1" t="s">
        <v>60</v>
      </c>
      <c r="D174" s="1">
        <v>114</v>
      </c>
      <c r="E174" s="1">
        <v>1</v>
      </c>
      <c r="F174" s="1">
        <v>115</v>
      </c>
      <c r="G174" s="1">
        <v>0.1</v>
      </c>
      <c r="H174" s="1">
        <v>16</v>
      </c>
    </row>
    <row r="175" spans="1:8" x14ac:dyDescent="0.5">
      <c r="A175" s="1">
        <v>7</v>
      </c>
      <c r="B175" s="1" t="s">
        <v>20</v>
      </c>
      <c r="C175" s="1" t="s">
        <v>21</v>
      </c>
      <c r="D175" s="1">
        <v>682</v>
      </c>
      <c r="E175" s="1">
        <v>6</v>
      </c>
      <c r="F175" s="1">
        <v>688</v>
      </c>
      <c r="G175" s="1">
        <v>0.62</v>
      </c>
      <c r="H175" s="1">
        <v>16</v>
      </c>
    </row>
    <row r="176" spans="1:8" x14ac:dyDescent="0.5">
      <c r="A176" s="16">
        <v>1</v>
      </c>
      <c r="B176" s="16" t="s">
        <v>207</v>
      </c>
      <c r="C176" s="17" t="s">
        <v>782</v>
      </c>
      <c r="D176" s="16">
        <v>54414</v>
      </c>
      <c r="E176" s="16">
        <v>307</v>
      </c>
      <c r="F176" s="16">
        <v>54721</v>
      </c>
      <c r="G176" s="16">
        <v>51.24</v>
      </c>
      <c r="H176" s="16">
        <v>17</v>
      </c>
    </row>
    <row r="177" spans="1:8" x14ac:dyDescent="0.5">
      <c r="A177" s="1">
        <v>2</v>
      </c>
      <c r="B177" s="1" t="s">
        <v>208</v>
      </c>
      <c r="C177" s="1" t="s">
        <v>9</v>
      </c>
      <c r="D177" s="1">
        <v>6311</v>
      </c>
      <c r="E177" s="1">
        <v>37</v>
      </c>
      <c r="F177" s="1">
        <v>6348</v>
      </c>
      <c r="G177" s="1">
        <v>5.94</v>
      </c>
      <c r="H177" s="1">
        <v>17</v>
      </c>
    </row>
    <row r="178" spans="1:8" x14ac:dyDescent="0.5">
      <c r="A178" s="1">
        <v>3</v>
      </c>
      <c r="B178" s="1" t="s">
        <v>198</v>
      </c>
      <c r="C178" s="1" t="s">
        <v>12</v>
      </c>
      <c r="D178" s="1">
        <v>43194</v>
      </c>
      <c r="E178" s="1">
        <v>102</v>
      </c>
      <c r="F178" s="1">
        <v>43296</v>
      </c>
      <c r="G178" s="1">
        <v>40.54</v>
      </c>
      <c r="H178" s="1">
        <v>17</v>
      </c>
    </row>
    <row r="179" spans="1:8" x14ac:dyDescent="0.5">
      <c r="A179" s="1">
        <v>4</v>
      </c>
      <c r="B179" s="1" t="s">
        <v>209</v>
      </c>
      <c r="C179" s="1" t="s">
        <v>23</v>
      </c>
      <c r="D179" s="1">
        <v>1046</v>
      </c>
      <c r="E179" s="1">
        <v>1</v>
      </c>
      <c r="F179" s="1">
        <v>1047</v>
      </c>
      <c r="G179" s="1">
        <v>0.98</v>
      </c>
      <c r="H179" s="1">
        <v>17</v>
      </c>
    </row>
    <row r="180" spans="1:8" x14ac:dyDescent="0.5">
      <c r="A180" s="1">
        <v>5</v>
      </c>
      <c r="B180" s="1" t="s">
        <v>210</v>
      </c>
      <c r="C180" s="1" t="s">
        <v>79</v>
      </c>
      <c r="D180" s="1">
        <v>190</v>
      </c>
      <c r="E180" s="1">
        <v>0</v>
      </c>
      <c r="F180" s="1">
        <v>190</v>
      </c>
      <c r="G180" s="1">
        <v>0.18</v>
      </c>
      <c r="H180" s="1">
        <v>17</v>
      </c>
    </row>
    <row r="181" spans="1:8" x14ac:dyDescent="0.5">
      <c r="A181" s="1">
        <v>6</v>
      </c>
      <c r="B181" s="1" t="s">
        <v>211</v>
      </c>
      <c r="C181" s="1" t="s">
        <v>33</v>
      </c>
      <c r="D181" s="1">
        <v>64</v>
      </c>
      <c r="E181" s="1">
        <v>0</v>
      </c>
      <c r="F181" s="1">
        <v>64</v>
      </c>
      <c r="G181" s="1">
        <v>0.06</v>
      </c>
      <c r="H181" s="1">
        <v>17</v>
      </c>
    </row>
    <row r="182" spans="1:8" x14ac:dyDescent="0.5">
      <c r="A182" s="1">
        <v>7</v>
      </c>
      <c r="B182" s="1" t="s">
        <v>212</v>
      </c>
      <c r="C182" s="1" t="s">
        <v>213</v>
      </c>
      <c r="D182" s="1">
        <v>63</v>
      </c>
      <c r="E182" s="1">
        <v>0</v>
      </c>
      <c r="F182" s="1">
        <v>63</v>
      </c>
      <c r="G182" s="1">
        <v>0.06</v>
      </c>
      <c r="H182" s="1">
        <v>17</v>
      </c>
    </row>
    <row r="183" spans="1:8" x14ac:dyDescent="0.5">
      <c r="A183" s="1">
        <v>8</v>
      </c>
      <c r="B183" s="1" t="s">
        <v>214</v>
      </c>
      <c r="C183" s="1" t="s">
        <v>18</v>
      </c>
      <c r="D183" s="1">
        <v>233</v>
      </c>
      <c r="E183" s="1">
        <v>1</v>
      </c>
      <c r="F183" s="1">
        <v>234</v>
      </c>
      <c r="G183" s="1">
        <v>0.22</v>
      </c>
      <c r="H183" s="1">
        <v>17</v>
      </c>
    </row>
    <row r="184" spans="1:8" x14ac:dyDescent="0.5">
      <c r="A184" s="1">
        <v>9</v>
      </c>
      <c r="B184" s="1" t="s">
        <v>215</v>
      </c>
      <c r="C184" s="1" t="s">
        <v>18</v>
      </c>
      <c r="D184" s="1">
        <v>173</v>
      </c>
      <c r="E184" s="1">
        <v>0</v>
      </c>
      <c r="F184" s="1">
        <v>173</v>
      </c>
      <c r="G184" s="1">
        <v>0.16</v>
      </c>
      <c r="H184" s="1">
        <v>17</v>
      </c>
    </row>
    <row r="185" spans="1:8" x14ac:dyDescent="0.5">
      <c r="A185" s="1">
        <v>10</v>
      </c>
      <c r="B185" s="1" t="s">
        <v>20</v>
      </c>
      <c r="C185" s="1" t="s">
        <v>21</v>
      </c>
      <c r="D185" s="1">
        <v>652</v>
      </c>
      <c r="E185" s="1">
        <v>0</v>
      </c>
      <c r="F185" s="1">
        <v>652</v>
      </c>
      <c r="G185" s="1">
        <v>0.61</v>
      </c>
      <c r="H185" s="1">
        <v>17</v>
      </c>
    </row>
    <row r="186" spans="1:8" x14ac:dyDescent="0.5">
      <c r="A186" s="1">
        <v>1</v>
      </c>
      <c r="B186" s="1" t="s">
        <v>216</v>
      </c>
      <c r="C186" s="1" t="s">
        <v>12</v>
      </c>
      <c r="D186" s="1">
        <v>38608</v>
      </c>
      <c r="E186" s="1">
        <v>85</v>
      </c>
      <c r="F186" s="1">
        <v>38693</v>
      </c>
      <c r="G186" s="1">
        <v>40.17</v>
      </c>
      <c r="H186" s="1">
        <v>18</v>
      </c>
    </row>
    <row r="187" spans="1:8" x14ac:dyDescent="0.5">
      <c r="A187" s="16">
        <v>2</v>
      </c>
      <c r="B187" s="16" t="s">
        <v>217</v>
      </c>
      <c r="C187" s="17" t="s">
        <v>782</v>
      </c>
      <c r="D187" s="16">
        <v>51848</v>
      </c>
      <c r="E187" s="16">
        <v>260</v>
      </c>
      <c r="F187" s="16">
        <v>52108</v>
      </c>
      <c r="G187" s="16">
        <v>54.1</v>
      </c>
      <c r="H187" s="16">
        <v>18</v>
      </c>
    </row>
    <row r="188" spans="1:8" x14ac:dyDescent="0.5">
      <c r="A188" s="1">
        <v>3</v>
      </c>
      <c r="B188" s="1" t="s">
        <v>218</v>
      </c>
      <c r="C188" s="1" t="s">
        <v>9</v>
      </c>
      <c r="D188" s="1">
        <v>3886</v>
      </c>
      <c r="E188" s="1">
        <v>22</v>
      </c>
      <c r="F188" s="1">
        <v>3908</v>
      </c>
      <c r="G188" s="1">
        <v>4.0599999999999996</v>
      </c>
      <c r="H188" s="1">
        <v>18</v>
      </c>
    </row>
    <row r="189" spans="1:8" x14ac:dyDescent="0.5">
      <c r="A189" s="1">
        <v>4</v>
      </c>
      <c r="B189" s="1" t="s">
        <v>219</v>
      </c>
      <c r="C189" s="1" t="s">
        <v>23</v>
      </c>
      <c r="D189" s="1">
        <v>372</v>
      </c>
      <c r="E189" s="1">
        <v>0</v>
      </c>
      <c r="F189" s="1">
        <v>372</v>
      </c>
      <c r="G189" s="1">
        <v>0.39</v>
      </c>
      <c r="H189" s="1">
        <v>18</v>
      </c>
    </row>
    <row r="190" spans="1:8" x14ac:dyDescent="0.5">
      <c r="A190" s="1">
        <v>5</v>
      </c>
      <c r="B190" s="1" t="s">
        <v>220</v>
      </c>
      <c r="C190" s="1" t="s">
        <v>33</v>
      </c>
      <c r="D190" s="1">
        <v>33</v>
      </c>
      <c r="E190" s="1">
        <v>0</v>
      </c>
      <c r="F190" s="1">
        <v>33</v>
      </c>
      <c r="G190" s="1">
        <v>0.03</v>
      </c>
      <c r="H190" s="1">
        <v>18</v>
      </c>
    </row>
    <row r="191" spans="1:8" x14ac:dyDescent="0.5">
      <c r="A191" s="1">
        <v>6</v>
      </c>
      <c r="B191" s="1" t="s">
        <v>221</v>
      </c>
      <c r="C191" s="1" t="s">
        <v>222</v>
      </c>
      <c r="D191" s="1">
        <v>58</v>
      </c>
      <c r="E191" s="1">
        <v>0</v>
      </c>
      <c r="F191" s="1">
        <v>58</v>
      </c>
      <c r="G191" s="1">
        <v>0.06</v>
      </c>
      <c r="H191" s="1">
        <v>18</v>
      </c>
    </row>
    <row r="192" spans="1:8" x14ac:dyDescent="0.5">
      <c r="A192" s="1">
        <v>7</v>
      </c>
      <c r="B192" s="1" t="s">
        <v>223</v>
      </c>
      <c r="C192" s="1" t="s">
        <v>47</v>
      </c>
      <c r="D192" s="1">
        <v>118</v>
      </c>
      <c r="E192" s="1">
        <v>0</v>
      </c>
      <c r="F192" s="1">
        <v>118</v>
      </c>
      <c r="G192" s="1">
        <v>0.12</v>
      </c>
      <c r="H192" s="1">
        <v>18</v>
      </c>
    </row>
    <row r="193" spans="1:8" x14ac:dyDescent="0.5">
      <c r="A193" s="1">
        <v>8</v>
      </c>
      <c r="B193" s="1" t="s">
        <v>224</v>
      </c>
      <c r="C193" s="1" t="s">
        <v>18</v>
      </c>
      <c r="D193" s="1">
        <v>119</v>
      </c>
      <c r="E193" s="1">
        <v>0</v>
      </c>
      <c r="F193" s="1">
        <v>119</v>
      </c>
      <c r="G193" s="1">
        <v>0.12</v>
      </c>
      <c r="H193" s="1">
        <v>18</v>
      </c>
    </row>
    <row r="194" spans="1:8" x14ac:dyDescent="0.5">
      <c r="A194" s="1">
        <v>9</v>
      </c>
      <c r="B194" s="1" t="s">
        <v>225</v>
      </c>
      <c r="C194" s="1" t="s">
        <v>18</v>
      </c>
      <c r="D194" s="1">
        <v>224</v>
      </c>
      <c r="E194" s="1">
        <v>0</v>
      </c>
      <c r="F194" s="1">
        <v>224</v>
      </c>
      <c r="G194" s="1">
        <v>0.23</v>
      </c>
      <c r="H194" s="1">
        <v>18</v>
      </c>
    </row>
    <row r="195" spans="1:8" x14ac:dyDescent="0.5">
      <c r="A195" s="1">
        <v>10</v>
      </c>
      <c r="B195" s="1" t="s">
        <v>20</v>
      </c>
      <c r="C195" s="1" t="s">
        <v>21</v>
      </c>
      <c r="D195" s="1">
        <v>682</v>
      </c>
      <c r="E195" s="1">
        <v>3</v>
      </c>
      <c r="F195" s="1">
        <v>685</v>
      </c>
      <c r="G195" s="1">
        <v>0.71</v>
      </c>
      <c r="H195" s="1">
        <v>18</v>
      </c>
    </row>
    <row r="196" spans="1:8" x14ac:dyDescent="0.5">
      <c r="A196" s="1">
        <v>1</v>
      </c>
      <c r="B196" s="1" t="s">
        <v>226</v>
      </c>
      <c r="C196" s="1" t="s">
        <v>9</v>
      </c>
      <c r="D196" s="1">
        <v>10022</v>
      </c>
      <c r="E196" s="1">
        <v>35</v>
      </c>
      <c r="F196" s="1">
        <v>10057</v>
      </c>
      <c r="G196" s="1">
        <v>8.49</v>
      </c>
      <c r="H196" s="1">
        <v>19</v>
      </c>
    </row>
    <row r="197" spans="1:8" x14ac:dyDescent="0.5">
      <c r="A197" s="2">
        <v>2</v>
      </c>
      <c r="B197" s="2" t="s">
        <v>227</v>
      </c>
      <c r="C197" s="3" t="s">
        <v>782</v>
      </c>
      <c r="D197" s="2">
        <v>49671</v>
      </c>
      <c r="E197" s="2">
        <v>199</v>
      </c>
      <c r="F197" s="2">
        <v>49870</v>
      </c>
      <c r="G197" s="2">
        <v>42.12</v>
      </c>
      <c r="H197" s="2">
        <v>19</v>
      </c>
    </row>
    <row r="198" spans="1:8" x14ac:dyDescent="0.5">
      <c r="A198" s="1">
        <v>3</v>
      </c>
      <c r="B198" s="1" t="s">
        <v>228</v>
      </c>
      <c r="C198" s="1" t="s">
        <v>23</v>
      </c>
      <c r="D198" s="1">
        <v>708</v>
      </c>
      <c r="E198" s="1">
        <v>1</v>
      </c>
      <c r="F198" s="1">
        <v>709</v>
      </c>
      <c r="G198" s="1">
        <v>0.6</v>
      </c>
      <c r="H198" s="1">
        <v>19</v>
      </c>
    </row>
    <row r="199" spans="1:8" x14ac:dyDescent="0.5">
      <c r="A199" s="18">
        <v>4</v>
      </c>
      <c r="B199" s="18" t="s">
        <v>229</v>
      </c>
      <c r="C199" s="18" t="s">
        <v>12</v>
      </c>
      <c r="D199" s="18">
        <v>56070</v>
      </c>
      <c r="E199" s="18">
        <v>107</v>
      </c>
      <c r="F199" s="18">
        <v>56177</v>
      </c>
      <c r="G199" s="18">
        <v>47.45</v>
      </c>
      <c r="H199" s="18">
        <v>19</v>
      </c>
    </row>
    <row r="200" spans="1:8" x14ac:dyDescent="0.5">
      <c r="A200" s="1">
        <v>5</v>
      </c>
      <c r="B200" s="1" t="s">
        <v>230</v>
      </c>
      <c r="C200" s="1" t="s">
        <v>106</v>
      </c>
      <c r="D200" s="1">
        <v>123</v>
      </c>
      <c r="E200" s="1">
        <v>0</v>
      </c>
      <c r="F200" s="1">
        <v>123</v>
      </c>
      <c r="G200" s="1">
        <v>0.1</v>
      </c>
      <c r="H200" s="1">
        <v>19</v>
      </c>
    </row>
    <row r="201" spans="1:8" x14ac:dyDescent="0.5">
      <c r="A201" s="1">
        <v>6</v>
      </c>
      <c r="B201" s="1" t="s">
        <v>231</v>
      </c>
      <c r="C201" s="1" t="s">
        <v>91</v>
      </c>
      <c r="D201" s="1">
        <v>184</v>
      </c>
      <c r="E201" s="1">
        <v>0</v>
      </c>
      <c r="F201" s="1">
        <v>184</v>
      </c>
      <c r="G201" s="1">
        <v>0.16</v>
      </c>
      <c r="H201" s="1">
        <v>19</v>
      </c>
    </row>
    <row r="202" spans="1:8" x14ac:dyDescent="0.5">
      <c r="A202" s="1">
        <v>7</v>
      </c>
      <c r="B202" s="1" t="s">
        <v>232</v>
      </c>
      <c r="C202" s="1" t="s">
        <v>233</v>
      </c>
      <c r="D202" s="1">
        <v>49</v>
      </c>
      <c r="E202" s="1">
        <v>1</v>
      </c>
      <c r="F202" s="1">
        <v>50</v>
      </c>
      <c r="G202" s="1">
        <v>0.04</v>
      </c>
      <c r="H202" s="1">
        <v>19</v>
      </c>
    </row>
    <row r="203" spans="1:8" x14ac:dyDescent="0.5">
      <c r="A203" s="1">
        <v>8</v>
      </c>
      <c r="B203" s="1" t="s">
        <v>234</v>
      </c>
      <c r="C203" s="1" t="s">
        <v>108</v>
      </c>
      <c r="D203" s="1">
        <v>213</v>
      </c>
      <c r="E203" s="1">
        <v>0</v>
      </c>
      <c r="F203" s="1">
        <v>213</v>
      </c>
      <c r="G203" s="1">
        <v>0.18</v>
      </c>
      <c r="H203" s="1">
        <v>19</v>
      </c>
    </row>
    <row r="204" spans="1:8" x14ac:dyDescent="0.5">
      <c r="A204" s="1">
        <v>9</v>
      </c>
      <c r="B204" s="1" t="s">
        <v>235</v>
      </c>
      <c r="C204" s="1" t="s">
        <v>236</v>
      </c>
      <c r="D204" s="1">
        <v>247</v>
      </c>
      <c r="E204" s="1">
        <v>0</v>
      </c>
      <c r="F204" s="1">
        <v>247</v>
      </c>
      <c r="G204" s="1">
        <v>0.21</v>
      </c>
      <c r="H204" s="1">
        <v>19</v>
      </c>
    </row>
    <row r="205" spans="1:8" x14ac:dyDescent="0.5">
      <c r="A205" s="1">
        <v>10</v>
      </c>
      <c r="B205" s="1" t="s">
        <v>237</v>
      </c>
      <c r="C205" s="1" t="s">
        <v>238</v>
      </c>
      <c r="D205" s="1">
        <v>84</v>
      </c>
      <c r="E205" s="1">
        <v>0</v>
      </c>
      <c r="F205" s="1">
        <v>84</v>
      </c>
      <c r="G205" s="1">
        <v>7.0000000000000007E-2</v>
      </c>
      <c r="H205" s="1">
        <v>19</v>
      </c>
    </row>
    <row r="206" spans="1:8" x14ac:dyDescent="0.5">
      <c r="A206" s="1">
        <v>11</v>
      </c>
      <c r="B206" s="1" t="s">
        <v>239</v>
      </c>
      <c r="C206" s="1" t="s">
        <v>240</v>
      </c>
      <c r="D206" s="1">
        <v>100</v>
      </c>
      <c r="E206" s="1">
        <v>0</v>
      </c>
      <c r="F206" s="1">
        <v>100</v>
      </c>
      <c r="G206" s="1">
        <v>0.08</v>
      </c>
      <c r="H206" s="1">
        <v>19</v>
      </c>
    </row>
    <row r="207" spans="1:8" x14ac:dyDescent="0.5">
      <c r="A207" s="1">
        <v>12</v>
      </c>
      <c r="B207" s="1" t="s">
        <v>20</v>
      </c>
      <c r="C207" s="1" t="s">
        <v>21</v>
      </c>
      <c r="D207" s="1">
        <v>584</v>
      </c>
      <c r="E207" s="1">
        <v>2</v>
      </c>
      <c r="F207" s="1">
        <v>586</v>
      </c>
      <c r="G207" s="1">
        <v>0.49</v>
      </c>
      <c r="H207" s="1">
        <v>19</v>
      </c>
    </row>
    <row r="208" spans="1:8" x14ac:dyDescent="0.5">
      <c r="A208" s="1">
        <v>1</v>
      </c>
      <c r="B208" s="1" t="s">
        <v>241</v>
      </c>
      <c r="C208" s="1" t="s">
        <v>23</v>
      </c>
      <c r="D208" s="1">
        <v>246</v>
      </c>
      <c r="E208" s="1">
        <v>0</v>
      </c>
      <c r="F208" s="1">
        <v>246</v>
      </c>
      <c r="G208" s="1">
        <v>0.35</v>
      </c>
      <c r="H208" s="1">
        <v>20</v>
      </c>
    </row>
    <row r="209" spans="1:8" x14ac:dyDescent="0.5">
      <c r="A209" s="18">
        <v>2</v>
      </c>
      <c r="B209" s="18" t="s">
        <v>242</v>
      </c>
      <c r="C209" s="18" t="s">
        <v>12</v>
      </c>
      <c r="D209" s="18">
        <v>38932</v>
      </c>
      <c r="E209" s="18">
        <v>61</v>
      </c>
      <c r="F209" s="18">
        <v>38993</v>
      </c>
      <c r="G209" s="18">
        <v>54.79</v>
      </c>
      <c r="H209" s="18">
        <v>20</v>
      </c>
    </row>
    <row r="210" spans="1:8" x14ac:dyDescent="0.5">
      <c r="A210" s="1">
        <v>3</v>
      </c>
      <c r="B210" s="1" t="s">
        <v>243</v>
      </c>
      <c r="C210" s="1" t="s">
        <v>9</v>
      </c>
      <c r="D210" s="1">
        <v>9038</v>
      </c>
      <c r="E210" s="1">
        <v>27</v>
      </c>
      <c r="F210" s="1">
        <v>9065</v>
      </c>
      <c r="G210" s="1">
        <v>12.74</v>
      </c>
      <c r="H210" s="1">
        <v>20</v>
      </c>
    </row>
    <row r="211" spans="1:8" x14ac:dyDescent="0.5">
      <c r="A211" s="2">
        <v>4</v>
      </c>
      <c r="B211" s="2" t="s">
        <v>244</v>
      </c>
      <c r="C211" s="3" t="s">
        <v>782</v>
      </c>
      <c r="D211" s="2">
        <v>22359</v>
      </c>
      <c r="E211" s="2">
        <v>62</v>
      </c>
      <c r="F211" s="2">
        <v>22421</v>
      </c>
      <c r="G211" s="2">
        <v>31.5</v>
      </c>
      <c r="H211" s="2">
        <v>20</v>
      </c>
    </row>
    <row r="212" spans="1:8" x14ac:dyDescent="0.5">
      <c r="A212" s="1">
        <v>5</v>
      </c>
      <c r="B212" s="1" t="s">
        <v>245</v>
      </c>
      <c r="C212" s="1" t="s">
        <v>39</v>
      </c>
      <c r="D212" s="1">
        <v>81</v>
      </c>
      <c r="E212" s="1">
        <v>0</v>
      </c>
      <c r="F212" s="1">
        <v>81</v>
      </c>
      <c r="G212" s="1">
        <v>0.11</v>
      </c>
      <c r="H212" s="1">
        <v>20</v>
      </c>
    </row>
    <row r="213" spans="1:8" x14ac:dyDescent="0.5">
      <c r="A213" s="1">
        <v>6</v>
      </c>
      <c r="B213" s="1" t="s">
        <v>246</v>
      </c>
      <c r="C213" s="1" t="s">
        <v>63</v>
      </c>
      <c r="D213" s="1">
        <v>45</v>
      </c>
      <c r="E213" s="1">
        <v>0</v>
      </c>
      <c r="F213" s="1">
        <v>45</v>
      </c>
      <c r="G213" s="1">
        <v>0.06</v>
      </c>
      <c r="H213" s="1">
        <v>20</v>
      </c>
    </row>
    <row r="214" spans="1:8" x14ac:dyDescent="0.5">
      <c r="A214" s="1">
        <v>7</v>
      </c>
      <c r="B214" s="1" t="s">
        <v>247</v>
      </c>
      <c r="C214" s="1" t="s">
        <v>33</v>
      </c>
      <c r="D214" s="1">
        <v>69</v>
      </c>
      <c r="E214" s="1">
        <v>0</v>
      </c>
      <c r="F214" s="1">
        <v>69</v>
      </c>
      <c r="G214" s="1">
        <v>0.1</v>
      </c>
      <c r="H214" s="1">
        <v>20</v>
      </c>
    </row>
    <row r="215" spans="1:8" x14ac:dyDescent="0.5">
      <c r="A215" s="1">
        <v>8</v>
      </c>
      <c r="B215" s="1" t="s">
        <v>20</v>
      </c>
      <c r="C215" s="1" t="s">
        <v>21</v>
      </c>
      <c r="D215" s="1">
        <v>249</v>
      </c>
      <c r="E215" s="1">
        <v>4</v>
      </c>
      <c r="F215" s="1">
        <v>253</v>
      </c>
      <c r="G215" s="1">
        <v>0.36</v>
      </c>
      <c r="H215" s="1">
        <v>20</v>
      </c>
    </row>
    <row r="216" spans="1:8" x14ac:dyDescent="0.5">
      <c r="A216" s="18">
        <v>1</v>
      </c>
      <c r="B216" s="18" t="s">
        <v>248</v>
      </c>
      <c r="C216" s="18" t="s">
        <v>12</v>
      </c>
      <c r="D216" s="18">
        <v>58041</v>
      </c>
      <c r="E216" s="18">
        <v>79</v>
      </c>
      <c r="F216" s="18">
        <v>58120</v>
      </c>
      <c r="G216" s="18">
        <v>68.8</v>
      </c>
      <c r="H216" s="18">
        <v>21</v>
      </c>
    </row>
    <row r="217" spans="1:8" x14ac:dyDescent="0.5">
      <c r="A217" s="1">
        <v>2</v>
      </c>
      <c r="B217" s="1" t="s">
        <v>249</v>
      </c>
      <c r="C217" s="1" t="s">
        <v>9</v>
      </c>
      <c r="D217" s="1">
        <v>10274</v>
      </c>
      <c r="E217" s="1">
        <v>21</v>
      </c>
      <c r="F217" s="1">
        <v>10295</v>
      </c>
      <c r="G217" s="1">
        <v>12.19</v>
      </c>
      <c r="H217" s="1">
        <v>21</v>
      </c>
    </row>
    <row r="218" spans="1:8" x14ac:dyDescent="0.5">
      <c r="A218" s="1">
        <v>3</v>
      </c>
      <c r="B218" s="1" t="s">
        <v>250</v>
      </c>
      <c r="C218" s="1" t="s">
        <v>23</v>
      </c>
      <c r="D218" s="1">
        <v>129</v>
      </c>
      <c r="E218" s="1">
        <v>1</v>
      </c>
      <c r="F218" s="1">
        <v>130</v>
      </c>
      <c r="G218" s="1">
        <v>0.15</v>
      </c>
      <c r="H218" s="1">
        <v>21</v>
      </c>
    </row>
    <row r="219" spans="1:8" x14ac:dyDescent="0.5">
      <c r="A219" s="2">
        <v>4</v>
      </c>
      <c r="B219" s="2" t="s">
        <v>251</v>
      </c>
      <c r="C219" s="3" t="s">
        <v>782</v>
      </c>
      <c r="D219" s="2">
        <v>15351</v>
      </c>
      <c r="E219" s="2">
        <v>45</v>
      </c>
      <c r="F219" s="2">
        <v>15396</v>
      </c>
      <c r="G219" s="2">
        <v>18.23</v>
      </c>
      <c r="H219" s="2">
        <v>21</v>
      </c>
    </row>
    <row r="220" spans="1:8" x14ac:dyDescent="0.5">
      <c r="A220" s="1">
        <v>5</v>
      </c>
      <c r="B220" s="1" t="s">
        <v>252</v>
      </c>
      <c r="C220" s="1" t="s">
        <v>39</v>
      </c>
      <c r="D220" s="1">
        <v>56</v>
      </c>
      <c r="E220" s="1">
        <v>0</v>
      </c>
      <c r="F220" s="1">
        <v>56</v>
      </c>
      <c r="G220" s="1">
        <v>7.0000000000000007E-2</v>
      </c>
      <c r="H220" s="1">
        <v>21</v>
      </c>
    </row>
    <row r="221" spans="1:8" x14ac:dyDescent="0.5">
      <c r="A221" s="1">
        <v>6</v>
      </c>
      <c r="B221" s="1" t="s">
        <v>253</v>
      </c>
      <c r="C221" s="1" t="s">
        <v>18</v>
      </c>
      <c r="D221" s="1">
        <v>93</v>
      </c>
      <c r="E221" s="1">
        <v>0</v>
      </c>
      <c r="F221" s="1">
        <v>93</v>
      </c>
      <c r="G221" s="1">
        <v>0.11</v>
      </c>
      <c r="H221" s="1">
        <v>21</v>
      </c>
    </row>
    <row r="222" spans="1:8" x14ac:dyDescent="0.5">
      <c r="A222" s="1">
        <v>7</v>
      </c>
      <c r="B222" s="1" t="s">
        <v>254</v>
      </c>
      <c r="C222" s="1" t="s">
        <v>18</v>
      </c>
      <c r="D222" s="1">
        <v>10</v>
      </c>
      <c r="E222" s="1">
        <v>1</v>
      </c>
      <c r="F222" s="1">
        <v>11</v>
      </c>
      <c r="G222" s="1">
        <v>0.01</v>
      </c>
      <c r="H222" s="1">
        <v>21</v>
      </c>
    </row>
    <row r="223" spans="1:8" x14ac:dyDescent="0.5">
      <c r="A223" s="1">
        <v>8</v>
      </c>
      <c r="B223" s="1" t="s">
        <v>255</v>
      </c>
      <c r="C223" s="1" t="s">
        <v>18</v>
      </c>
      <c r="D223" s="1">
        <v>31</v>
      </c>
      <c r="E223" s="1">
        <v>0</v>
      </c>
      <c r="F223" s="1">
        <v>31</v>
      </c>
      <c r="G223" s="1">
        <v>0.04</v>
      </c>
      <c r="H223" s="1">
        <v>21</v>
      </c>
    </row>
    <row r="224" spans="1:8" x14ac:dyDescent="0.5">
      <c r="A224" s="1">
        <v>9</v>
      </c>
      <c r="B224" s="1" t="s">
        <v>256</v>
      </c>
      <c r="C224" s="1" t="s">
        <v>18</v>
      </c>
      <c r="D224" s="1">
        <v>35</v>
      </c>
      <c r="E224" s="1">
        <v>0</v>
      </c>
      <c r="F224" s="1">
        <v>35</v>
      </c>
      <c r="G224" s="1">
        <v>0.04</v>
      </c>
      <c r="H224" s="1">
        <v>21</v>
      </c>
    </row>
    <row r="225" spans="1:27" x14ac:dyDescent="0.5">
      <c r="A225" s="1">
        <v>10</v>
      </c>
      <c r="B225" s="1" t="s">
        <v>257</v>
      </c>
      <c r="C225" s="1" t="s">
        <v>18</v>
      </c>
      <c r="D225" s="1">
        <v>60</v>
      </c>
      <c r="E225" s="1">
        <v>0</v>
      </c>
      <c r="F225" s="1">
        <v>60</v>
      </c>
      <c r="G225" s="1">
        <v>7.0000000000000007E-2</v>
      </c>
      <c r="H225" s="1">
        <v>21</v>
      </c>
    </row>
    <row r="226" spans="1:27" x14ac:dyDescent="0.5">
      <c r="A226" s="1">
        <v>11</v>
      </c>
      <c r="B226" s="1" t="s">
        <v>258</v>
      </c>
      <c r="C226" s="1" t="s">
        <v>18</v>
      </c>
      <c r="D226" s="1">
        <v>31</v>
      </c>
      <c r="E226" s="1">
        <v>0</v>
      </c>
      <c r="F226" s="1">
        <v>31</v>
      </c>
      <c r="G226" s="1">
        <v>0.04</v>
      </c>
      <c r="H226" s="1">
        <v>21</v>
      </c>
    </row>
    <row r="227" spans="1:27" x14ac:dyDescent="0.5">
      <c r="A227" s="1">
        <v>12</v>
      </c>
      <c r="B227" s="1" t="s">
        <v>20</v>
      </c>
      <c r="C227" s="1" t="s">
        <v>21</v>
      </c>
      <c r="D227" s="1">
        <v>217</v>
      </c>
      <c r="E227" s="1">
        <v>0</v>
      </c>
      <c r="F227" s="1">
        <v>217</v>
      </c>
      <c r="G227" s="1">
        <v>0.26</v>
      </c>
      <c r="H227" s="1">
        <v>21</v>
      </c>
    </row>
    <row r="228" spans="1:27" x14ac:dyDescent="0.5">
      <c r="A228" s="18">
        <v>1</v>
      </c>
      <c r="B228" s="18" t="s">
        <v>259</v>
      </c>
      <c r="C228" s="18" t="s">
        <v>12</v>
      </c>
      <c r="D228" s="18">
        <v>56932</v>
      </c>
      <c r="E228" s="18">
        <v>72</v>
      </c>
      <c r="F228" s="18">
        <v>57004</v>
      </c>
      <c r="G228" s="18">
        <v>58</v>
      </c>
      <c r="H228" s="18">
        <v>22</v>
      </c>
    </row>
    <row r="229" spans="1:27" s="8" customFormat="1" x14ac:dyDescent="0.5">
      <c r="A229" s="2">
        <v>2</v>
      </c>
      <c r="B229" s="2" t="s">
        <v>260</v>
      </c>
      <c r="C229" s="2" t="s">
        <v>782</v>
      </c>
      <c r="D229" s="2">
        <v>27119</v>
      </c>
      <c r="E229" s="2">
        <v>62</v>
      </c>
      <c r="F229" s="2">
        <v>27181</v>
      </c>
      <c r="G229" s="2">
        <v>27.66</v>
      </c>
      <c r="H229" s="2">
        <v>22</v>
      </c>
      <c r="T229"/>
      <c r="U229"/>
      <c r="V229"/>
      <c r="W229"/>
      <c r="X229"/>
      <c r="Y229"/>
      <c r="Z229"/>
      <c r="AA229"/>
    </row>
    <row r="230" spans="1:27" x14ac:dyDescent="0.5">
      <c r="A230" s="1">
        <v>3</v>
      </c>
      <c r="B230" s="1" t="s">
        <v>261</v>
      </c>
      <c r="C230" s="1" t="s">
        <v>23</v>
      </c>
      <c r="D230" s="1">
        <v>190</v>
      </c>
      <c r="E230" s="1">
        <v>0</v>
      </c>
      <c r="F230" s="1">
        <v>190</v>
      </c>
      <c r="G230" s="1">
        <v>0.19</v>
      </c>
      <c r="H230" s="1">
        <v>22</v>
      </c>
      <c r="T230" s="8"/>
      <c r="U230" s="8"/>
      <c r="V230" s="8"/>
      <c r="W230" s="8"/>
      <c r="X230" s="8"/>
      <c r="Y230" s="8"/>
      <c r="Z230" s="8"/>
      <c r="AA230" s="8"/>
    </row>
    <row r="231" spans="1:27" x14ac:dyDescent="0.5">
      <c r="A231" s="1">
        <v>4</v>
      </c>
      <c r="B231" s="1" t="s">
        <v>262</v>
      </c>
      <c r="C231" s="1" t="s">
        <v>9</v>
      </c>
      <c r="D231" s="1">
        <v>13038</v>
      </c>
      <c r="E231" s="1">
        <v>21</v>
      </c>
      <c r="F231" s="1">
        <v>13059</v>
      </c>
      <c r="G231" s="1">
        <v>13.29</v>
      </c>
      <c r="H231" s="1">
        <v>22</v>
      </c>
    </row>
    <row r="232" spans="1:27" x14ac:dyDescent="0.5">
      <c r="A232" s="1">
        <v>5</v>
      </c>
      <c r="B232" s="1" t="s">
        <v>263</v>
      </c>
      <c r="C232" s="1" t="s">
        <v>264</v>
      </c>
      <c r="D232" s="1">
        <v>224</v>
      </c>
      <c r="E232" s="1">
        <v>0</v>
      </c>
      <c r="F232" s="1">
        <v>224</v>
      </c>
      <c r="G232" s="1">
        <v>0.23</v>
      </c>
      <c r="H232" s="1">
        <v>22</v>
      </c>
    </row>
    <row r="233" spans="1:27" x14ac:dyDescent="0.5">
      <c r="A233" s="1">
        <v>6</v>
      </c>
      <c r="B233" s="1" t="s">
        <v>265</v>
      </c>
      <c r="C233" s="1" t="s">
        <v>39</v>
      </c>
      <c r="D233" s="1">
        <v>38</v>
      </c>
      <c r="E233" s="1">
        <v>0</v>
      </c>
      <c r="F233" s="1">
        <v>38</v>
      </c>
      <c r="G233" s="1">
        <v>0.04</v>
      </c>
      <c r="H233" s="1">
        <v>22</v>
      </c>
    </row>
    <row r="234" spans="1:27" x14ac:dyDescent="0.5">
      <c r="A234" s="1">
        <v>7</v>
      </c>
      <c r="B234" s="1" t="s">
        <v>153</v>
      </c>
      <c r="C234" s="1" t="s">
        <v>18</v>
      </c>
      <c r="D234" s="1">
        <v>130</v>
      </c>
      <c r="E234" s="1">
        <v>1</v>
      </c>
      <c r="F234" s="1">
        <v>131</v>
      </c>
      <c r="G234" s="1">
        <v>0.13</v>
      </c>
      <c r="H234" s="1">
        <v>22</v>
      </c>
    </row>
    <row r="235" spans="1:27" x14ac:dyDescent="0.5">
      <c r="A235" s="1">
        <v>8</v>
      </c>
      <c r="B235" s="1" t="s">
        <v>266</v>
      </c>
      <c r="C235" s="1" t="s">
        <v>18</v>
      </c>
      <c r="D235" s="1">
        <v>72</v>
      </c>
      <c r="E235" s="1">
        <v>0</v>
      </c>
      <c r="F235" s="1">
        <v>72</v>
      </c>
      <c r="G235" s="1">
        <v>7.0000000000000007E-2</v>
      </c>
      <c r="H235" s="1">
        <v>22</v>
      </c>
    </row>
    <row r="236" spans="1:27" x14ac:dyDescent="0.5">
      <c r="A236" s="1">
        <v>9</v>
      </c>
      <c r="B236" s="1" t="s">
        <v>267</v>
      </c>
      <c r="C236" s="1" t="s">
        <v>18</v>
      </c>
      <c r="D236" s="1">
        <v>77</v>
      </c>
      <c r="E236" s="1">
        <v>0</v>
      </c>
      <c r="F236" s="1">
        <v>77</v>
      </c>
      <c r="G236" s="1">
        <v>0.08</v>
      </c>
      <c r="H236" s="1">
        <v>22</v>
      </c>
    </row>
    <row r="237" spans="1:27" x14ac:dyDescent="0.5">
      <c r="A237" s="1">
        <v>10</v>
      </c>
      <c r="B237" s="1" t="s">
        <v>20</v>
      </c>
      <c r="C237" s="1" t="s">
        <v>21</v>
      </c>
      <c r="D237" s="1">
        <v>299</v>
      </c>
      <c r="E237" s="1">
        <v>2</v>
      </c>
      <c r="F237" s="1">
        <v>301</v>
      </c>
      <c r="G237" s="1">
        <v>0.31</v>
      </c>
      <c r="H237" s="1">
        <v>22</v>
      </c>
    </row>
    <row r="238" spans="1:27" x14ac:dyDescent="0.5">
      <c r="A238" s="2">
        <v>1</v>
      </c>
      <c r="B238" s="2" t="s">
        <v>268</v>
      </c>
      <c r="C238" s="2" t="s">
        <v>782</v>
      </c>
      <c r="D238" s="2">
        <v>44750</v>
      </c>
      <c r="E238" s="2">
        <v>117</v>
      </c>
      <c r="F238" s="2">
        <v>44867</v>
      </c>
      <c r="G238" s="2">
        <v>43.65</v>
      </c>
      <c r="H238" s="2">
        <v>23</v>
      </c>
    </row>
    <row r="239" spans="1:27" x14ac:dyDescent="0.5">
      <c r="A239" s="1">
        <v>2</v>
      </c>
      <c r="B239" s="1" t="s">
        <v>269</v>
      </c>
      <c r="C239" s="1" t="s">
        <v>9</v>
      </c>
      <c r="D239" s="1">
        <v>4232</v>
      </c>
      <c r="E239" s="1">
        <v>20</v>
      </c>
      <c r="F239" s="1">
        <v>4252</v>
      </c>
      <c r="G239" s="1">
        <v>4.1399999999999997</v>
      </c>
      <c r="H239" s="1">
        <v>23</v>
      </c>
    </row>
    <row r="240" spans="1:27" x14ac:dyDescent="0.5">
      <c r="A240" s="1">
        <v>3</v>
      </c>
      <c r="B240" s="1" t="s">
        <v>270</v>
      </c>
      <c r="C240" s="1" t="s">
        <v>23</v>
      </c>
      <c r="D240" s="1">
        <v>624</v>
      </c>
      <c r="E240" s="1">
        <v>2</v>
      </c>
      <c r="F240" s="1">
        <v>626</v>
      </c>
      <c r="G240" s="1">
        <v>0.61</v>
      </c>
      <c r="H240" s="1">
        <v>23</v>
      </c>
    </row>
    <row r="241" spans="1:8" x14ac:dyDescent="0.5">
      <c r="A241" s="18">
        <v>4</v>
      </c>
      <c r="B241" s="18" t="s">
        <v>271</v>
      </c>
      <c r="C241" s="18" t="s">
        <v>12</v>
      </c>
      <c r="D241" s="18">
        <v>52153</v>
      </c>
      <c r="E241" s="18">
        <v>144</v>
      </c>
      <c r="F241" s="18">
        <v>52297</v>
      </c>
      <c r="G241" s="18">
        <v>50.88</v>
      </c>
      <c r="H241" s="18">
        <v>23</v>
      </c>
    </row>
    <row r="242" spans="1:8" x14ac:dyDescent="0.5">
      <c r="A242" s="1">
        <v>5</v>
      </c>
      <c r="B242" s="1" t="s">
        <v>272</v>
      </c>
      <c r="C242" s="1" t="s">
        <v>273</v>
      </c>
      <c r="D242" s="1">
        <v>116</v>
      </c>
      <c r="E242" s="1">
        <v>0</v>
      </c>
      <c r="F242" s="1">
        <v>116</v>
      </c>
      <c r="G242" s="1">
        <v>0.11</v>
      </c>
      <c r="H242" s="1">
        <v>23</v>
      </c>
    </row>
    <row r="243" spans="1:8" x14ac:dyDescent="0.5">
      <c r="A243" s="1">
        <v>6</v>
      </c>
      <c r="B243" s="1" t="s">
        <v>157</v>
      </c>
      <c r="C243" s="1" t="s">
        <v>18</v>
      </c>
      <c r="D243" s="1">
        <v>87</v>
      </c>
      <c r="E243" s="1">
        <v>1</v>
      </c>
      <c r="F243" s="1">
        <v>88</v>
      </c>
      <c r="G243" s="1">
        <v>0.09</v>
      </c>
      <c r="H243" s="1">
        <v>23</v>
      </c>
    </row>
    <row r="244" spans="1:8" x14ac:dyDescent="0.5">
      <c r="A244" s="1">
        <v>7</v>
      </c>
      <c r="B244" s="1" t="s">
        <v>20</v>
      </c>
      <c r="C244" s="1" t="s">
        <v>21</v>
      </c>
      <c r="D244" s="1">
        <v>543</v>
      </c>
      <c r="E244" s="1">
        <v>5</v>
      </c>
      <c r="F244" s="1">
        <v>548</v>
      </c>
      <c r="G244" s="1">
        <v>0.53</v>
      </c>
      <c r="H244" s="1">
        <v>23</v>
      </c>
    </row>
    <row r="245" spans="1:8" x14ac:dyDescent="0.5">
      <c r="A245" s="1">
        <v>1</v>
      </c>
      <c r="B245" s="1" t="s">
        <v>274</v>
      </c>
      <c r="C245" s="1" t="s">
        <v>9</v>
      </c>
      <c r="D245" s="1">
        <v>4610</v>
      </c>
      <c r="E245" s="1">
        <v>44</v>
      </c>
      <c r="F245" s="1">
        <v>4654</v>
      </c>
      <c r="G245" s="1">
        <v>3.97</v>
      </c>
      <c r="H245" s="1">
        <v>24</v>
      </c>
    </row>
    <row r="246" spans="1:8" x14ac:dyDescent="0.5">
      <c r="A246" s="1">
        <v>2</v>
      </c>
      <c r="B246" s="1" t="s">
        <v>275</v>
      </c>
      <c r="C246" s="1" t="s">
        <v>12</v>
      </c>
      <c r="D246" s="1">
        <v>57408</v>
      </c>
      <c r="E246" s="1">
        <v>104</v>
      </c>
      <c r="F246" s="1">
        <v>57512</v>
      </c>
      <c r="G246" s="1">
        <v>49</v>
      </c>
      <c r="H246" s="1">
        <v>24</v>
      </c>
    </row>
    <row r="247" spans="1:8" x14ac:dyDescent="0.5">
      <c r="A247" s="2">
        <v>3</v>
      </c>
      <c r="B247" s="2" t="s">
        <v>276</v>
      </c>
      <c r="C247" s="2" t="s">
        <v>782</v>
      </c>
      <c r="D247" s="2">
        <v>53273</v>
      </c>
      <c r="E247" s="2">
        <v>190</v>
      </c>
      <c r="F247" s="2">
        <v>53463</v>
      </c>
      <c r="G247" s="2">
        <v>45.55</v>
      </c>
      <c r="H247" s="2">
        <v>24</v>
      </c>
    </row>
    <row r="248" spans="1:8" x14ac:dyDescent="0.5">
      <c r="A248" s="1">
        <v>4</v>
      </c>
      <c r="B248" s="1" t="s">
        <v>277</v>
      </c>
      <c r="C248" s="1" t="s">
        <v>23</v>
      </c>
      <c r="D248" s="1">
        <v>712</v>
      </c>
      <c r="E248" s="1">
        <v>2</v>
      </c>
      <c r="F248" s="1">
        <v>714</v>
      </c>
      <c r="G248" s="1">
        <v>0.61</v>
      </c>
      <c r="H248" s="1">
        <v>24</v>
      </c>
    </row>
    <row r="249" spans="1:8" x14ac:dyDescent="0.5">
      <c r="A249" s="1">
        <v>5</v>
      </c>
      <c r="B249" s="1" t="s">
        <v>278</v>
      </c>
      <c r="C249" s="1" t="s">
        <v>16</v>
      </c>
      <c r="D249" s="1">
        <v>255</v>
      </c>
      <c r="E249" s="1">
        <v>0</v>
      </c>
      <c r="F249" s="1">
        <v>255</v>
      </c>
      <c r="G249" s="1">
        <v>0.22</v>
      </c>
      <c r="H249" s="1">
        <v>24</v>
      </c>
    </row>
    <row r="250" spans="1:8" x14ac:dyDescent="0.5">
      <c r="A250" s="1">
        <v>6</v>
      </c>
      <c r="B250" s="1" t="s">
        <v>20</v>
      </c>
      <c r="C250" s="1" t="s">
        <v>21</v>
      </c>
      <c r="D250" s="1">
        <v>768</v>
      </c>
      <c r="E250" s="1">
        <v>4</v>
      </c>
      <c r="F250" s="1">
        <v>772</v>
      </c>
      <c r="G250" s="1">
        <v>0.66</v>
      </c>
      <c r="H250" s="1">
        <v>24</v>
      </c>
    </row>
    <row r="251" spans="1:8" x14ac:dyDescent="0.5">
      <c r="A251" s="1">
        <v>1</v>
      </c>
      <c r="B251" s="1" t="s">
        <v>279</v>
      </c>
      <c r="C251" s="1" t="s">
        <v>23</v>
      </c>
      <c r="D251" s="1">
        <v>848</v>
      </c>
      <c r="E251" s="1">
        <v>3</v>
      </c>
      <c r="F251" s="1">
        <v>851</v>
      </c>
      <c r="G251" s="1">
        <v>0.78</v>
      </c>
      <c r="H251" s="1">
        <v>25</v>
      </c>
    </row>
    <row r="252" spans="1:8" x14ac:dyDescent="0.5">
      <c r="A252" s="1">
        <v>2</v>
      </c>
      <c r="B252" s="1" t="s">
        <v>280</v>
      </c>
      <c r="C252" s="1" t="s">
        <v>9</v>
      </c>
      <c r="D252" s="1">
        <v>3316</v>
      </c>
      <c r="E252" s="1">
        <v>18</v>
      </c>
      <c r="F252" s="1">
        <v>3334</v>
      </c>
      <c r="G252" s="1">
        <v>3.05</v>
      </c>
      <c r="H252" s="1">
        <v>25</v>
      </c>
    </row>
    <row r="253" spans="1:8" x14ac:dyDescent="0.5">
      <c r="A253" s="1">
        <v>3</v>
      </c>
      <c r="B253" s="1" t="s">
        <v>281</v>
      </c>
      <c r="C253" s="1" t="s">
        <v>12</v>
      </c>
      <c r="D253" s="1">
        <v>45827</v>
      </c>
      <c r="E253" s="1">
        <v>81</v>
      </c>
      <c r="F253" s="1">
        <v>45908</v>
      </c>
      <c r="G253" s="1">
        <v>41.98</v>
      </c>
      <c r="H253" s="1">
        <v>25</v>
      </c>
    </row>
    <row r="254" spans="1:8" x14ac:dyDescent="0.5">
      <c r="A254" s="16">
        <v>4</v>
      </c>
      <c r="B254" s="16" t="s">
        <v>282</v>
      </c>
      <c r="C254" s="16" t="s">
        <v>782</v>
      </c>
      <c r="D254" s="16">
        <v>57364</v>
      </c>
      <c r="E254" s="16">
        <v>201</v>
      </c>
      <c r="F254" s="16">
        <v>57565</v>
      </c>
      <c r="G254" s="16">
        <v>52.64</v>
      </c>
      <c r="H254" s="16">
        <v>25</v>
      </c>
    </row>
    <row r="255" spans="1:8" x14ac:dyDescent="0.5">
      <c r="A255" s="1">
        <v>5</v>
      </c>
      <c r="B255" s="1" t="s">
        <v>283</v>
      </c>
      <c r="C255" s="1" t="s">
        <v>33</v>
      </c>
      <c r="D255" s="1">
        <v>124</v>
      </c>
      <c r="E255" s="1">
        <v>0</v>
      </c>
      <c r="F255" s="1">
        <v>124</v>
      </c>
      <c r="G255" s="1">
        <v>0.11</v>
      </c>
      <c r="H255" s="1">
        <v>25</v>
      </c>
    </row>
    <row r="256" spans="1:8" x14ac:dyDescent="0.5">
      <c r="A256" s="1">
        <v>6</v>
      </c>
      <c r="B256" s="1" t="s">
        <v>284</v>
      </c>
      <c r="C256" s="1" t="s">
        <v>236</v>
      </c>
      <c r="D256" s="1">
        <v>35</v>
      </c>
      <c r="E256" s="1">
        <v>0</v>
      </c>
      <c r="F256" s="1">
        <v>35</v>
      </c>
      <c r="G256" s="1">
        <v>0.03</v>
      </c>
      <c r="H256" s="1">
        <v>25</v>
      </c>
    </row>
    <row r="257" spans="1:8" x14ac:dyDescent="0.5">
      <c r="A257" s="1">
        <v>7</v>
      </c>
      <c r="B257" s="1" t="s">
        <v>285</v>
      </c>
      <c r="C257" s="1" t="s">
        <v>143</v>
      </c>
      <c r="D257" s="1">
        <v>63</v>
      </c>
      <c r="E257" s="1">
        <v>0</v>
      </c>
      <c r="F257" s="1">
        <v>63</v>
      </c>
      <c r="G257" s="1">
        <v>0.06</v>
      </c>
      <c r="H257" s="1">
        <v>25</v>
      </c>
    </row>
    <row r="258" spans="1:8" x14ac:dyDescent="0.5">
      <c r="A258" s="1">
        <v>8</v>
      </c>
      <c r="B258" s="1" t="s">
        <v>286</v>
      </c>
      <c r="C258" s="1" t="s">
        <v>287</v>
      </c>
      <c r="D258" s="1">
        <v>70</v>
      </c>
      <c r="E258" s="1">
        <v>0</v>
      </c>
      <c r="F258" s="1">
        <v>70</v>
      </c>
      <c r="G258" s="1">
        <v>0.06</v>
      </c>
      <c r="H258" s="1">
        <v>25</v>
      </c>
    </row>
    <row r="259" spans="1:8" x14ac:dyDescent="0.5">
      <c r="A259" s="1">
        <v>9</v>
      </c>
      <c r="B259" s="1" t="s">
        <v>288</v>
      </c>
      <c r="C259" s="1" t="s">
        <v>39</v>
      </c>
      <c r="D259" s="1">
        <v>60</v>
      </c>
      <c r="E259" s="1">
        <v>0</v>
      </c>
      <c r="F259" s="1">
        <v>60</v>
      </c>
      <c r="G259" s="1">
        <v>0.05</v>
      </c>
      <c r="H259" s="1">
        <v>25</v>
      </c>
    </row>
    <row r="260" spans="1:8" x14ac:dyDescent="0.5">
      <c r="A260" s="1">
        <v>10</v>
      </c>
      <c r="B260" s="1" t="s">
        <v>289</v>
      </c>
      <c r="C260" s="1" t="s">
        <v>18</v>
      </c>
      <c r="D260" s="1">
        <v>170</v>
      </c>
      <c r="E260" s="1">
        <v>0</v>
      </c>
      <c r="F260" s="1">
        <v>170</v>
      </c>
      <c r="G260" s="1">
        <v>0.16</v>
      </c>
      <c r="H260" s="1">
        <v>25</v>
      </c>
    </row>
    <row r="261" spans="1:8" x14ac:dyDescent="0.5">
      <c r="A261" s="1">
        <v>11</v>
      </c>
      <c r="B261" s="1" t="s">
        <v>290</v>
      </c>
      <c r="C261" s="1" t="s">
        <v>18</v>
      </c>
      <c r="D261" s="1">
        <v>415</v>
      </c>
      <c r="E261" s="1">
        <v>1</v>
      </c>
      <c r="F261" s="1">
        <v>416</v>
      </c>
      <c r="G261" s="1">
        <v>0.38</v>
      </c>
      <c r="H261" s="1">
        <v>25</v>
      </c>
    </row>
    <row r="262" spans="1:8" x14ac:dyDescent="0.5">
      <c r="A262" s="1">
        <v>12</v>
      </c>
      <c r="B262" s="1" t="s">
        <v>291</v>
      </c>
      <c r="C262" s="1" t="s">
        <v>18</v>
      </c>
      <c r="D262" s="1">
        <v>76</v>
      </c>
      <c r="E262" s="1">
        <v>0</v>
      </c>
      <c r="F262" s="1">
        <v>76</v>
      </c>
      <c r="G262" s="1">
        <v>7.0000000000000007E-2</v>
      </c>
      <c r="H262" s="1">
        <v>25</v>
      </c>
    </row>
    <row r="263" spans="1:8" x14ac:dyDescent="0.5">
      <c r="A263" s="1">
        <v>13</v>
      </c>
      <c r="B263" s="1" t="s">
        <v>20</v>
      </c>
      <c r="C263" s="1" t="s">
        <v>21</v>
      </c>
      <c r="D263" s="1">
        <v>687</v>
      </c>
      <c r="E263" s="1">
        <v>2</v>
      </c>
      <c r="F263" s="1">
        <v>689</v>
      </c>
      <c r="G263" s="1">
        <v>0.63</v>
      </c>
      <c r="H263" s="1">
        <v>25</v>
      </c>
    </row>
    <row r="264" spans="1:8" x14ac:dyDescent="0.5">
      <c r="A264" s="16">
        <v>1</v>
      </c>
      <c r="B264" s="16" t="s">
        <v>292</v>
      </c>
      <c r="C264" s="16" t="s">
        <v>782</v>
      </c>
      <c r="D264" s="16">
        <v>51824</v>
      </c>
      <c r="E264" s="16">
        <v>195</v>
      </c>
      <c r="F264" s="16">
        <v>52019</v>
      </c>
      <c r="G264" s="16">
        <v>46.08</v>
      </c>
      <c r="H264" s="16">
        <v>26</v>
      </c>
    </row>
    <row r="265" spans="1:8" x14ac:dyDescent="0.5">
      <c r="A265" s="1">
        <v>2</v>
      </c>
      <c r="B265" s="1" t="s">
        <v>293</v>
      </c>
      <c r="C265" s="1" t="s">
        <v>9</v>
      </c>
      <c r="D265" s="1">
        <v>17878</v>
      </c>
      <c r="E265" s="1">
        <v>80</v>
      </c>
      <c r="F265" s="1">
        <v>17958</v>
      </c>
      <c r="G265" s="1">
        <v>15.91</v>
      </c>
      <c r="H265" s="1">
        <v>26</v>
      </c>
    </row>
    <row r="266" spans="1:8" x14ac:dyDescent="0.5">
      <c r="A266" s="1">
        <v>3</v>
      </c>
      <c r="B266" s="1" t="s">
        <v>294</v>
      </c>
      <c r="C266" s="1" t="s">
        <v>12</v>
      </c>
      <c r="D266" s="1">
        <v>41034</v>
      </c>
      <c r="E266" s="1">
        <v>86</v>
      </c>
      <c r="F266" s="1">
        <v>41120</v>
      </c>
      <c r="G266" s="1">
        <v>36.42</v>
      </c>
      <c r="H266" s="1">
        <v>26</v>
      </c>
    </row>
    <row r="267" spans="1:8" x14ac:dyDescent="0.5">
      <c r="A267" s="1">
        <v>4</v>
      </c>
      <c r="B267" s="1" t="s">
        <v>295</v>
      </c>
      <c r="C267" s="1" t="s">
        <v>23</v>
      </c>
      <c r="D267" s="1">
        <v>319</v>
      </c>
      <c r="E267" s="1">
        <v>2</v>
      </c>
      <c r="F267" s="1">
        <v>321</v>
      </c>
      <c r="G267" s="1">
        <v>0.28000000000000003</v>
      </c>
      <c r="H267" s="1">
        <v>26</v>
      </c>
    </row>
    <row r="268" spans="1:8" x14ac:dyDescent="0.5">
      <c r="A268" s="1">
        <v>5</v>
      </c>
      <c r="B268" s="1" t="s">
        <v>296</v>
      </c>
      <c r="C268" s="1" t="s">
        <v>106</v>
      </c>
      <c r="D268" s="1">
        <v>66</v>
      </c>
      <c r="E268" s="1">
        <v>0</v>
      </c>
      <c r="F268" s="1">
        <v>66</v>
      </c>
      <c r="G268" s="1">
        <v>0.06</v>
      </c>
      <c r="H268" s="1">
        <v>26</v>
      </c>
    </row>
    <row r="269" spans="1:8" x14ac:dyDescent="0.5">
      <c r="A269" s="1">
        <v>6</v>
      </c>
      <c r="B269" s="1" t="s">
        <v>297</v>
      </c>
      <c r="C269" s="1" t="s">
        <v>108</v>
      </c>
      <c r="D269" s="1">
        <v>204</v>
      </c>
      <c r="E269" s="1">
        <v>0</v>
      </c>
      <c r="F269" s="1">
        <v>204</v>
      </c>
      <c r="G269" s="1">
        <v>0.18</v>
      </c>
      <c r="H269" s="1">
        <v>26</v>
      </c>
    </row>
    <row r="270" spans="1:8" x14ac:dyDescent="0.5">
      <c r="A270" s="1">
        <v>7</v>
      </c>
      <c r="B270" s="1" t="s">
        <v>298</v>
      </c>
      <c r="C270" s="1" t="s">
        <v>299</v>
      </c>
      <c r="D270" s="1">
        <v>105</v>
      </c>
      <c r="E270" s="1">
        <v>0</v>
      </c>
      <c r="F270" s="1">
        <v>105</v>
      </c>
      <c r="G270" s="1">
        <v>0.09</v>
      </c>
      <c r="H270" s="1">
        <v>26</v>
      </c>
    </row>
    <row r="271" spans="1:8" x14ac:dyDescent="0.5">
      <c r="A271" s="1">
        <v>8</v>
      </c>
      <c r="B271" s="1" t="s">
        <v>300</v>
      </c>
      <c r="C271" s="1" t="s">
        <v>18</v>
      </c>
      <c r="D271" s="1">
        <v>206</v>
      </c>
      <c r="E271" s="1">
        <v>0</v>
      </c>
      <c r="F271" s="1">
        <v>206</v>
      </c>
      <c r="G271" s="1">
        <v>0.18</v>
      </c>
      <c r="H271" s="1">
        <v>26</v>
      </c>
    </row>
    <row r="272" spans="1:8" x14ac:dyDescent="0.5">
      <c r="A272" s="1">
        <v>9</v>
      </c>
      <c r="B272" s="1" t="s">
        <v>301</v>
      </c>
      <c r="C272" s="1" t="s">
        <v>18</v>
      </c>
      <c r="D272" s="1">
        <v>113</v>
      </c>
      <c r="E272" s="1">
        <v>0</v>
      </c>
      <c r="F272" s="1">
        <v>113</v>
      </c>
      <c r="G272" s="1">
        <v>0.1</v>
      </c>
      <c r="H272" s="1">
        <v>26</v>
      </c>
    </row>
    <row r="273" spans="1:8" x14ac:dyDescent="0.5">
      <c r="A273" s="1">
        <v>10</v>
      </c>
      <c r="B273" s="1" t="s">
        <v>20</v>
      </c>
      <c r="C273" s="1" t="s">
        <v>21</v>
      </c>
      <c r="D273" s="1">
        <v>773</v>
      </c>
      <c r="E273" s="1">
        <v>5</v>
      </c>
      <c r="F273" s="1">
        <v>778</v>
      </c>
      <c r="G273" s="1">
        <v>0.69</v>
      </c>
      <c r="H273" s="1">
        <v>26</v>
      </c>
    </row>
    <row r="274" spans="1:8" x14ac:dyDescent="0.5">
      <c r="A274" s="1">
        <v>1</v>
      </c>
      <c r="B274" s="1" t="s">
        <v>302</v>
      </c>
      <c r="C274" s="1" t="s">
        <v>12</v>
      </c>
      <c r="D274" s="1">
        <v>45835</v>
      </c>
      <c r="E274" s="1">
        <v>107</v>
      </c>
      <c r="F274" s="1">
        <v>45942</v>
      </c>
      <c r="G274" s="1">
        <v>40.020000000000003</v>
      </c>
      <c r="H274" s="1">
        <v>27</v>
      </c>
    </row>
    <row r="275" spans="1:8" x14ac:dyDescent="0.5">
      <c r="A275" s="1">
        <v>2</v>
      </c>
      <c r="B275" s="1" t="s">
        <v>303</v>
      </c>
      <c r="C275" s="1" t="s">
        <v>9</v>
      </c>
      <c r="D275" s="1">
        <v>3171</v>
      </c>
      <c r="E275" s="1">
        <v>27</v>
      </c>
      <c r="F275" s="1">
        <v>3198</v>
      </c>
      <c r="G275" s="1">
        <v>2.79</v>
      </c>
      <c r="H275" s="1">
        <v>27</v>
      </c>
    </row>
    <row r="276" spans="1:8" x14ac:dyDescent="0.5">
      <c r="A276" s="16">
        <v>3</v>
      </c>
      <c r="B276" s="16" t="s">
        <v>304</v>
      </c>
      <c r="C276" s="16" t="s">
        <v>782</v>
      </c>
      <c r="D276" s="16">
        <v>63883</v>
      </c>
      <c r="E276" s="16">
        <v>249</v>
      </c>
      <c r="F276" s="16">
        <v>64132</v>
      </c>
      <c r="G276" s="16">
        <v>55.86</v>
      </c>
      <c r="H276" s="16">
        <v>27</v>
      </c>
    </row>
    <row r="277" spans="1:8" x14ac:dyDescent="0.5">
      <c r="A277" s="1">
        <v>4</v>
      </c>
      <c r="B277" s="1" t="s">
        <v>305</v>
      </c>
      <c r="C277" s="1" t="s">
        <v>23</v>
      </c>
      <c r="D277" s="1">
        <v>286</v>
      </c>
      <c r="E277" s="1">
        <v>2</v>
      </c>
      <c r="F277" s="1">
        <v>288</v>
      </c>
      <c r="G277" s="1">
        <v>0.25</v>
      </c>
      <c r="H277" s="1">
        <v>27</v>
      </c>
    </row>
    <row r="278" spans="1:8" x14ac:dyDescent="0.5">
      <c r="A278" s="1">
        <v>5</v>
      </c>
      <c r="B278" s="1" t="s">
        <v>306</v>
      </c>
      <c r="C278" s="1" t="s">
        <v>47</v>
      </c>
      <c r="D278" s="1">
        <v>64</v>
      </c>
      <c r="E278" s="1">
        <v>1</v>
      </c>
      <c r="F278" s="1">
        <v>65</v>
      </c>
      <c r="G278" s="1">
        <v>0.06</v>
      </c>
      <c r="H278" s="1">
        <v>27</v>
      </c>
    </row>
    <row r="279" spans="1:8" x14ac:dyDescent="0.5">
      <c r="A279" s="1">
        <v>6</v>
      </c>
      <c r="B279" s="1" t="s">
        <v>307</v>
      </c>
      <c r="C279" s="1" t="s">
        <v>264</v>
      </c>
      <c r="D279" s="1">
        <v>225</v>
      </c>
      <c r="E279" s="1">
        <v>0</v>
      </c>
      <c r="F279" s="1">
        <v>225</v>
      </c>
      <c r="G279" s="1">
        <v>0.2</v>
      </c>
      <c r="H279" s="1">
        <v>27</v>
      </c>
    </row>
    <row r="280" spans="1:8" x14ac:dyDescent="0.5">
      <c r="A280" s="1">
        <v>7</v>
      </c>
      <c r="B280" s="1" t="s">
        <v>308</v>
      </c>
      <c r="C280" s="1" t="s">
        <v>309</v>
      </c>
      <c r="D280" s="1">
        <v>89</v>
      </c>
      <c r="E280" s="1">
        <v>0</v>
      </c>
      <c r="F280" s="1">
        <v>89</v>
      </c>
      <c r="G280" s="1">
        <v>0.08</v>
      </c>
      <c r="H280" s="1">
        <v>27</v>
      </c>
    </row>
    <row r="281" spans="1:8" x14ac:dyDescent="0.5">
      <c r="A281" s="1">
        <v>8</v>
      </c>
      <c r="B281" s="1" t="s">
        <v>310</v>
      </c>
      <c r="C281" s="1" t="s">
        <v>33</v>
      </c>
      <c r="D281" s="1">
        <v>84</v>
      </c>
      <c r="E281" s="1">
        <v>0</v>
      </c>
      <c r="F281" s="1">
        <v>84</v>
      </c>
      <c r="G281" s="1">
        <v>7.0000000000000007E-2</v>
      </c>
      <c r="H281" s="1">
        <v>27</v>
      </c>
    </row>
    <row r="282" spans="1:8" x14ac:dyDescent="0.5">
      <c r="A282" s="1">
        <v>9</v>
      </c>
      <c r="B282" s="1" t="s">
        <v>20</v>
      </c>
      <c r="C282" s="1" t="s">
        <v>21</v>
      </c>
      <c r="D282" s="1">
        <v>778</v>
      </c>
      <c r="E282" s="1">
        <v>5</v>
      </c>
      <c r="F282" s="1">
        <v>783</v>
      </c>
      <c r="G282" s="1">
        <v>0.68</v>
      </c>
      <c r="H282" s="1">
        <v>27</v>
      </c>
    </row>
    <row r="283" spans="1:8" x14ac:dyDescent="0.5">
      <c r="A283" s="1">
        <v>1</v>
      </c>
      <c r="B283" s="1" t="s">
        <v>311</v>
      </c>
      <c r="C283" s="1" t="s">
        <v>9</v>
      </c>
      <c r="D283" s="1">
        <v>4175</v>
      </c>
      <c r="E283" s="1">
        <v>77</v>
      </c>
      <c r="F283" s="1">
        <v>4252</v>
      </c>
      <c r="G283" s="1">
        <v>4.13</v>
      </c>
      <c r="H283" s="1">
        <v>28</v>
      </c>
    </row>
    <row r="284" spans="1:8" x14ac:dyDescent="0.5">
      <c r="A284" s="1">
        <v>2</v>
      </c>
      <c r="B284" s="1" t="s">
        <v>312</v>
      </c>
      <c r="C284" s="1" t="s">
        <v>23</v>
      </c>
      <c r="D284" s="1">
        <v>566</v>
      </c>
      <c r="E284" s="1">
        <v>3</v>
      </c>
      <c r="F284" s="1">
        <v>569</v>
      </c>
      <c r="G284" s="1">
        <v>0.55000000000000004</v>
      </c>
      <c r="H284" s="1">
        <v>28</v>
      </c>
    </row>
    <row r="285" spans="1:8" x14ac:dyDescent="0.5">
      <c r="A285" s="16">
        <v>3</v>
      </c>
      <c r="B285" s="16" t="s">
        <v>313</v>
      </c>
      <c r="C285" s="16" t="s">
        <v>782</v>
      </c>
      <c r="D285" s="16">
        <v>49608</v>
      </c>
      <c r="E285" s="16">
        <v>571</v>
      </c>
      <c r="F285" s="16">
        <v>50179</v>
      </c>
      <c r="G285" s="16">
        <v>48.7</v>
      </c>
      <c r="H285" s="16">
        <v>28</v>
      </c>
    </row>
    <row r="286" spans="1:8" x14ac:dyDescent="0.5">
      <c r="A286" s="1">
        <v>4</v>
      </c>
      <c r="B286" s="1" t="s">
        <v>314</v>
      </c>
      <c r="C286" s="1" t="s">
        <v>12</v>
      </c>
      <c r="D286" s="1">
        <v>43262</v>
      </c>
      <c r="E286" s="1">
        <v>285</v>
      </c>
      <c r="F286" s="1">
        <v>43547</v>
      </c>
      <c r="G286" s="1">
        <v>42.26</v>
      </c>
      <c r="H286" s="1">
        <v>28</v>
      </c>
    </row>
    <row r="287" spans="1:8" x14ac:dyDescent="0.5">
      <c r="A287" s="1">
        <v>5</v>
      </c>
      <c r="B287" s="1" t="s">
        <v>315</v>
      </c>
      <c r="C287" s="1" t="s">
        <v>29</v>
      </c>
      <c r="D287" s="1">
        <v>81</v>
      </c>
      <c r="E287" s="1">
        <v>0</v>
      </c>
      <c r="F287" s="1">
        <v>81</v>
      </c>
      <c r="G287" s="1">
        <v>0.08</v>
      </c>
      <c r="H287" s="1">
        <v>28</v>
      </c>
    </row>
    <row r="288" spans="1:8" x14ac:dyDescent="0.5">
      <c r="A288" s="1">
        <v>6</v>
      </c>
      <c r="B288" s="1" t="s">
        <v>316</v>
      </c>
      <c r="C288" s="1" t="s">
        <v>317</v>
      </c>
      <c r="D288" s="1">
        <v>83</v>
      </c>
      <c r="E288" s="1">
        <v>0</v>
      </c>
      <c r="F288" s="1">
        <v>83</v>
      </c>
      <c r="G288" s="1">
        <v>0.08</v>
      </c>
      <c r="H288" s="1">
        <v>28</v>
      </c>
    </row>
    <row r="289" spans="1:8" x14ac:dyDescent="0.5">
      <c r="A289" s="1">
        <v>7</v>
      </c>
      <c r="B289" s="1" t="s">
        <v>278</v>
      </c>
      <c r="C289" s="1" t="s">
        <v>18</v>
      </c>
      <c r="D289" s="1">
        <v>28</v>
      </c>
      <c r="E289" s="1">
        <v>1</v>
      </c>
      <c r="F289" s="1">
        <v>29</v>
      </c>
      <c r="G289" s="1">
        <v>0.03</v>
      </c>
      <c r="H289" s="1">
        <v>28</v>
      </c>
    </row>
    <row r="290" spans="1:8" x14ac:dyDescent="0.5">
      <c r="A290" s="1">
        <v>8</v>
      </c>
      <c r="B290" s="1" t="s">
        <v>318</v>
      </c>
      <c r="C290" s="1" t="s">
        <v>18</v>
      </c>
      <c r="D290" s="1">
        <v>98</v>
      </c>
      <c r="E290" s="1">
        <v>0</v>
      </c>
      <c r="F290" s="1">
        <v>98</v>
      </c>
      <c r="G290" s="1">
        <v>0.1</v>
      </c>
      <c r="H290" s="1">
        <v>28</v>
      </c>
    </row>
    <row r="291" spans="1:8" x14ac:dyDescent="0.5">
      <c r="A291" s="1">
        <v>9</v>
      </c>
      <c r="B291" s="1" t="s">
        <v>319</v>
      </c>
      <c r="C291" s="1" t="s">
        <v>18</v>
      </c>
      <c r="D291" s="1">
        <v>3367</v>
      </c>
      <c r="E291" s="1">
        <v>31</v>
      </c>
      <c r="F291" s="1">
        <v>3398</v>
      </c>
      <c r="G291" s="1">
        <v>3.3</v>
      </c>
      <c r="H291" s="1">
        <v>28</v>
      </c>
    </row>
    <row r="292" spans="1:8" x14ac:dyDescent="0.5">
      <c r="A292" s="1">
        <v>10</v>
      </c>
      <c r="B292" s="1" t="s">
        <v>320</v>
      </c>
      <c r="C292" s="1" t="s">
        <v>18</v>
      </c>
      <c r="D292" s="1">
        <v>89</v>
      </c>
      <c r="E292" s="1">
        <v>2</v>
      </c>
      <c r="F292" s="1">
        <v>91</v>
      </c>
      <c r="G292" s="1">
        <v>0.09</v>
      </c>
      <c r="H292" s="1">
        <v>28</v>
      </c>
    </row>
    <row r="293" spans="1:8" x14ac:dyDescent="0.5">
      <c r="A293" s="1">
        <v>11</v>
      </c>
      <c r="B293" s="1" t="s">
        <v>20</v>
      </c>
      <c r="C293" s="1" t="s">
        <v>21</v>
      </c>
      <c r="D293" s="1">
        <v>705</v>
      </c>
      <c r="E293" s="1">
        <v>8</v>
      </c>
      <c r="F293" s="1">
        <v>713</v>
      </c>
      <c r="G293" s="1">
        <v>0.69</v>
      </c>
      <c r="H293" s="1">
        <v>28</v>
      </c>
    </row>
    <row r="294" spans="1:8" x14ac:dyDescent="0.5">
      <c r="A294" s="1">
        <v>1</v>
      </c>
      <c r="B294" s="1" t="s">
        <v>321</v>
      </c>
      <c r="C294" s="1" t="s">
        <v>23</v>
      </c>
      <c r="D294" s="1">
        <v>296</v>
      </c>
      <c r="E294" s="1">
        <v>5</v>
      </c>
      <c r="F294" s="1">
        <v>301</v>
      </c>
      <c r="G294" s="1">
        <v>0.31</v>
      </c>
      <c r="H294" s="1">
        <v>29</v>
      </c>
    </row>
    <row r="295" spans="1:8" x14ac:dyDescent="0.5">
      <c r="A295" s="18">
        <v>2</v>
      </c>
      <c r="B295" s="18" t="s">
        <v>322</v>
      </c>
      <c r="C295" s="18" t="s">
        <v>12</v>
      </c>
      <c r="D295" s="18">
        <v>51955</v>
      </c>
      <c r="E295" s="18">
        <v>179</v>
      </c>
      <c r="F295" s="18">
        <v>52134</v>
      </c>
      <c r="G295" s="18">
        <v>54.02</v>
      </c>
      <c r="H295" s="18">
        <v>29</v>
      </c>
    </row>
    <row r="296" spans="1:8" x14ac:dyDescent="0.5">
      <c r="A296" s="1">
        <v>3</v>
      </c>
      <c r="B296" s="1" t="s">
        <v>323</v>
      </c>
      <c r="C296" s="1" t="s">
        <v>9</v>
      </c>
      <c r="D296" s="1">
        <v>2716</v>
      </c>
      <c r="E296" s="1">
        <v>31</v>
      </c>
      <c r="F296" s="1">
        <v>2747</v>
      </c>
      <c r="G296" s="1">
        <v>2.85</v>
      </c>
      <c r="H296" s="1">
        <v>29</v>
      </c>
    </row>
    <row r="297" spans="1:8" x14ac:dyDescent="0.5">
      <c r="A297" s="2">
        <v>4</v>
      </c>
      <c r="B297" s="2" t="s">
        <v>324</v>
      </c>
      <c r="C297" s="2" t="s">
        <v>782</v>
      </c>
      <c r="D297" s="2">
        <v>40233</v>
      </c>
      <c r="E297" s="2">
        <v>245</v>
      </c>
      <c r="F297" s="2">
        <v>40478</v>
      </c>
      <c r="G297" s="2">
        <v>41.94</v>
      </c>
      <c r="H297" s="2">
        <v>29</v>
      </c>
    </row>
    <row r="298" spans="1:8" x14ac:dyDescent="0.5">
      <c r="A298" s="1">
        <v>5</v>
      </c>
      <c r="B298" s="1" t="s">
        <v>325</v>
      </c>
      <c r="C298" s="1" t="s">
        <v>18</v>
      </c>
      <c r="D298" s="1">
        <v>91</v>
      </c>
      <c r="E298" s="1">
        <v>0</v>
      </c>
      <c r="F298" s="1">
        <v>91</v>
      </c>
      <c r="G298" s="1">
        <v>0.09</v>
      </c>
      <c r="H298" s="1">
        <v>29</v>
      </c>
    </row>
    <row r="299" spans="1:8" x14ac:dyDescent="0.5">
      <c r="A299" s="1">
        <v>6</v>
      </c>
      <c r="B299" s="1" t="s">
        <v>326</v>
      </c>
      <c r="C299" s="1" t="s">
        <v>18</v>
      </c>
      <c r="D299" s="1">
        <v>145</v>
      </c>
      <c r="E299" s="1">
        <v>0</v>
      </c>
      <c r="F299" s="1">
        <v>145</v>
      </c>
      <c r="G299" s="1">
        <v>0.15</v>
      </c>
      <c r="H299" s="1">
        <v>29</v>
      </c>
    </row>
    <row r="300" spans="1:8" x14ac:dyDescent="0.5">
      <c r="A300" s="1">
        <v>7</v>
      </c>
      <c r="B300" s="1" t="s">
        <v>20</v>
      </c>
      <c r="C300" s="1" t="s">
        <v>21</v>
      </c>
      <c r="D300" s="1">
        <v>600</v>
      </c>
      <c r="E300" s="1">
        <v>7</v>
      </c>
      <c r="F300" s="1">
        <v>607</v>
      </c>
      <c r="G300" s="1">
        <v>0.63</v>
      </c>
      <c r="H300" s="1">
        <v>29</v>
      </c>
    </row>
    <row r="301" spans="1:8" x14ac:dyDescent="0.5">
      <c r="A301" s="16">
        <v>1</v>
      </c>
      <c r="B301" s="16" t="s">
        <v>327</v>
      </c>
      <c r="C301" s="16" t="s">
        <v>782</v>
      </c>
      <c r="D301" s="16">
        <v>68564</v>
      </c>
      <c r="E301" s="16">
        <v>422</v>
      </c>
      <c r="F301" s="16">
        <v>68986</v>
      </c>
      <c r="G301" s="16">
        <v>55.27</v>
      </c>
      <c r="H301" s="16">
        <v>30</v>
      </c>
    </row>
    <row r="302" spans="1:8" x14ac:dyDescent="0.5">
      <c r="A302" s="1">
        <v>2</v>
      </c>
      <c r="B302" s="1" t="s">
        <v>328</v>
      </c>
      <c r="C302" s="1" t="s">
        <v>12</v>
      </c>
      <c r="D302" s="1">
        <v>50045</v>
      </c>
      <c r="E302" s="1">
        <v>175</v>
      </c>
      <c r="F302" s="1">
        <v>50220</v>
      </c>
      <c r="G302" s="1">
        <v>40.229999999999997</v>
      </c>
      <c r="H302" s="1">
        <v>30</v>
      </c>
    </row>
    <row r="303" spans="1:8" x14ac:dyDescent="0.5">
      <c r="A303" s="1">
        <v>3</v>
      </c>
      <c r="B303" s="1" t="s">
        <v>329</v>
      </c>
      <c r="C303" s="1" t="s">
        <v>23</v>
      </c>
      <c r="D303" s="1">
        <v>458</v>
      </c>
      <c r="E303" s="1">
        <v>3</v>
      </c>
      <c r="F303" s="1">
        <v>461</v>
      </c>
      <c r="G303" s="1">
        <v>0.37</v>
      </c>
      <c r="H303" s="1">
        <v>30</v>
      </c>
    </row>
    <row r="304" spans="1:8" x14ac:dyDescent="0.5">
      <c r="A304" s="1">
        <v>4</v>
      </c>
      <c r="B304" s="1" t="s">
        <v>330</v>
      </c>
      <c r="C304" s="1" t="s">
        <v>9</v>
      </c>
      <c r="D304" s="1">
        <v>3305</v>
      </c>
      <c r="E304" s="1">
        <v>40</v>
      </c>
      <c r="F304" s="1">
        <v>3345</v>
      </c>
      <c r="G304" s="1">
        <v>2.68</v>
      </c>
      <c r="H304" s="1">
        <v>30</v>
      </c>
    </row>
    <row r="305" spans="1:8" x14ac:dyDescent="0.5">
      <c r="A305" s="1">
        <v>5</v>
      </c>
      <c r="B305" s="1" t="s">
        <v>331</v>
      </c>
      <c r="C305" s="1" t="s">
        <v>332</v>
      </c>
      <c r="D305" s="1">
        <v>47</v>
      </c>
      <c r="E305" s="1">
        <v>1</v>
      </c>
      <c r="F305" s="1">
        <v>48</v>
      </c>
      <c r="G305" s="1">
        <v>0.04</v>
      </c>
      <c r="H305" s="1">
        <v>30</v>
      </c>
    </row>
    <row r="306" spans="1:8" x14ac:dyDescent="0.5">
      <c r="A306" s="1">
        <v>6</v>
      </c>
      <c r="B306" s="1" t="s">
        <v>333</v>
      </c>
      <c r="C306" s="1" t="s">
        <v>334</v>
      </c>
      <c r="D306" s="1">
        <v>69</v>
      </c>
      <c r="E306" s="1">
        <v>1</v>
      </c>
      <c r="F306" s="1">
        <v>70</v>
      </c>
      <c r="G306" s="1">
        <v>0.06</v>
      </c>
      <c r="H306" s="1">
        <v>30</v>
      </c>
    </row>
    <row r="307" spans="1:8" x14ac:dyDescent="0.5">
      <c r="A307" s="1">
        <v>7</v>
      </c>
      <c r="B307" s="1" t="s">
        <v>335</v>
      </c>
      <c r="C307" s="1" t="s">
        <v>336</v>
      </c>
      <c r="D307" s="1">
        <v>61</v>
      </c>
      <c r="E307" s="1">
        <v>0</v>
      </c>
      <c r="F307" s="1">
        <v>61</v>
      </c>
      <c r="G307" s="1">
        <v>0.05</v>
      </c>
      <c r="H307" s="1">
        <v>30</v>
      </c>
    </row>
    <row r="308" spans="1:8" x14ac:dyDescent="0.5">
      <c r="A308" s="1">
        <v>8</v>
      </c>
      <c r="B308" s="1" t="s">
        <v>337</v>
      </c>
      <c r="C308" s="1" t="s">
        <v>39</v>
      </c>
      <c r="D308" s="1">
        <v>80</v>
      </c>
      <c r="E308" s="1">
        <v>0</v>
      </c>
      <c r="F308" s="1">
        <v>80</v>
      </c>
      <c r="G308" s="1">
        <v>0.06</v>
      </c>
      <c r="H308" s="1">
        <v>30</v>
      </c>
    </row>
    <row r="309" spans="1:8" x14ac:dyDescent="0.5">
      <c r="A309" s="1">
        <v>9</v>
      </c>
      <c r="B309" s="1" t="s">
        <v>338</v>
      </c>
      <c r="C309" s="1" t="s">
        <v>339</v>
      </c>
      <c r="D309" s="1">
        <v>43</v>
      </c>
      <c r="E309" s="1">
        <v>0</v>
      </c>
      <c r="F309" s="1">
        <v>43</v>
      </c>
      <c r="G309" s="1">
        <v>0.03</v>
      </c>
      <c r="H309" s="1">
        <v>30</v>
      </c>
    </row>
    <row r="310" spans="1:8" x14ac:dyDescent="0.5">
      <c r="A310" s="1">
        <v>10</v>
      </c>
      <c r="B310" s="1" t="s">
        <v>340</v>
      </c>
      <c r="C310" s="1" t="s">
        <v>166</v>
      </c>
      <c r="D310" s="1">
        <v>91</v>
      </c>
      <c r="E310" s="1">
        <v>0</v>
      </c>
      <c r="F310" s="1">
        <v>91</v>
      </c>
      <c r="G310" s="1">
        <v>7.0000000000000007E-2</v>
      </c>
      <c r="H310" s="1">
        <v>30</v>
      </c>
    </row>
    <row r="311" spans="1:8" x14ac:dyDescent="0.5">
      <c r="A311" s="1">
        <v>11</v>
      </c>
      <c r="B311" s="1" t="s">
        <v>341</v>
      </c>
      <c r="C311" s="1" t="s">
        <v>342</v>
      </c>
      <c r="D311" s="1">
        <v>20</v>
      </c>
      <c r="E311" s="1">
        <v>0</v>
      </c>
      <c r="F311" s="1">
        <v>20</v>
      </c>
      <c r="G311" s="1">
        <v>0.02</v>
      </c>
      <c r="H311" s="1">
        <v>30</v>
      </c>
    </row>
    <row r="312" spans="1:8" x14ac:dyDescent="0.5">
      <c r="A312" s="1">
        <v>12</v>
      </c>
      <c r="B312" s="1" t="s">
        <v>343</v>
      </c>
      <c r="C312" s="1" t="s">
        <v>18</v>
      </c>
      <c r="D312" s="1">
        <v>182</v>
      </c>
      <c r="E312" s="1">
        <v>1</v>
      </c>
      <c r="F312" s="1">
        <v>183</v>
      </c>
      <c r="G312" s="1">
        <v>0.15</v>
      </c>
      <c r="H312" s="1">
        <v>30</v>
      </c>
    </row>
    <row r="313" spans="1:8" x14ac:dyDescent="0.5">
      <c r="A313" s="1">
        <v>13</v>
      </c>
      <c r="B313" s="1" t="s">
        <v>327</v>
      </c>
      <c r="C313" s="1" t="s">
        <v>18</v>
      </c>
      <c r="D313" s="1">
        <v>56</v>
      </c>
      <c r="E313" s="1">
        <v>1</v>
      </c>
      <c r="F313" s="1">
        <v>57</v>
      </c>
      <c r="G313" s="1">
        <v>0.05</v>
      </c>
      <c r="H313" s="1">
        <v>30</v>
      </c>
    </row>
    <row r="314" spans="1:8" x14ac:dyDescent="0.5">
      <c r="A314" s="1">
        <v>14</v>
      </c>
      <c r="B314" s="1" t="s">
        <v>344</v>
      </c>
      <c r="C314" s="1" t="s">
        <v>18</v>
      </c>
      <c r="D314" s="1">
        <v>60</v>
      </c>
      <c r="E314" s="1">
        <v>0</v>
      </c>
      <c r="F314" s="1">
        <v>60</v>
      </c>
      <c r="G314" s="1">
        <v>0.05</v>
      </c>
      <c r="H314" s="1">
        <v>30</v>
      </c>
    </row>
    <row r="315" spans="1:8" x14ac:dyDescent="0.5">
      <c r="A315" s="1">
        <v>15</v>
      </c>
      <c r="B315" s="1" t="s">
        <v>345</v>
      </c>
      <c r="C315" s="1" t="s">
        <v>18</v>
      </c>
      <c r="D315" s="1">
        <v>193</v>
      </c>
      <c r="E315" s="1">
        <v>0</v>
      </c>
      <c r="F315" s="1">
        <v>193</v>
      </c>
      <c r="G315" s="1">
        <v>0.15</v>
      </c>
      <c r="H315" s="1">
        <v>30</v>
      </c>
    </row>
    <row r="316" spans="1:8" x14ac:dyDescent="0.5">
      <c r="A316" s="1">
        <v>16</v>
      </c>
      <c r="B316" s="1" t="s">
        <v>345</v>
      </c>
      <c r="C316" s="1" t="s">
        <v>18</v>
      </c>
      <c r="D316" s="1">
        <v>210</v>
      </c>
      <c r="E316" s="1">
        <v>0</v>
      </c>
      <c r="F316" s="1">
        <v>210</v>
      </c>
      <c r="G316" s="1">
        <v>0.17</v>
      </c>
      <c r="H316" s="1">
        <v>30</v>
      </c>
    </row>
    <row r="317" spans="1:8" x14ac:dyDescent="0.5">
      <c r="A317" s="1">
        <v>17</v>
      </c>
      <c r="B317" s="1" t="s">
        <v>20</v>
      </c>
      <c r="C317" s="1" t="s">
        <v>21</v>
      </c>
      <c r="D317" s="1">
        <v>684</v>
      </c>
      <c r="E317" s="1">
        <v>7</v>
      </c>
      <c r="F317" s="1">
        <v>691</v>
      </c>
      <c r="G317" s="1">
        <v>0.55000000000000004</v>
      </c>
      <c r="H317" s="1">
        <v>30</v>
      </c>
    </row>
    <row r="318" spans="1:8" x14ac:dyDescent="0.5">
      <c r="A318" s="1">
        <v>1</v>
      </c>
      <c r="B318" s="1" t="s">
        <v>346</v>
      </c>
      <c r="C318" s="1" t="s">
        <v>23</v>
      </c>
      <c r="D318" s="1">
        <v>2632</v>
      </c>
      <c r="E318" s="1">
        <v>10</v>
      </c>
      <c r="F318" s="1">
        <v>2642</v>
      </c>
      <c r="G318" s="1">
        <v>0.97</v>
      </c>
      <c r="H318" s="1">
        <v>31</v>
      </c>
    </row>
    <row r="319" spans="1:8" x14ac:dyDescent="0.5">
      <c r="A319" s="1">
        <v>2</v>
      </c>
      <c r="B319" s="1" t="s">
        <v>347</v>
      </c>
      <c r="C319" s="1" t="s">
        <v>9</v>
      </c>
      <c r="D319" s="1">
        <v>8397</v>
      </c>
      <c r="E319" s="1">
        <v>68</v>
      </c>
      <c r="F319" s="1">
        <v>8465</v>
      </c>
      <c r="G319" s="1">
        <v>3.09</v>
      </c>
      <c r="H319" s="1">
        <v>31</v>
      </c>
    </row>
    <row r="320" spans="1:8" x14ac:dyDescent="0.5">
      <c r="A320" s="16">
        <v>3</v>
      </c>
      <c r="B320" s="16" t="s">
        <v>348</v>
      </c>
      <c r="C320" s="16" t="s">
        <v>782</v>
      </c>
      <c r="D320" s="16">
        <v>135038</v>
      </c>
      <c r="E320" s="16">
        <v>526</v>
      </c>
      <c r="F320" s="16">
        <v>135564</v>
      </c>
      <c r="G320" s="16">
        <v>49.54</v>
      </c>
      <c r="H320" s="16">
        <v>31</v>
      </c>
    </row>
    <row r="321" spans="1:8" x14ac:dyDescent="0.5">
      <c r="A321" s="1">
        <v>4</v>
      </c>
      <c r="B321" s="1" t="s">
        <v>349</v>
      </c>
      <c r="C321" s="1" t="s">
        <v>12</v>
      </c>
      <c r="D321" s="1">
        <v>122419</v>
      </c>
      <c r="E321" s="1">
        <v>269</v>
      </c>
      <c r="F321" s="1">
        <v>122688</v>
      </c>
      <c r="G321" s="1">
        <v>44.83</v>
      </c>
      <c r="H321" s="1">
        <v>31</v>
      </c>
    </row>
    <row r="322" spans="1:8" x14ac:dyDescent="0.5">
      <c r="A322" s="1">
        <v>5</v>
      </c>
      <c r="B322" s="1" t="s">
        <v>350</v>
      </c>
      <c r="C322" s="1" t="s">
        <v>16</v>
      </c>
      <c r="D322" s="1">
        <v>443</v>
      </c>
      <c r="E322" s="1">
        <v>0</v>
      </c>
      <c r="F322" s="1">
        <v>443</v>
      </c>
      <c r="G322" s="1">
        <v>0.16</v>
      </c>
      <c r="H322" s="1">
        <v>31</v>
      </c>
    </row>
    <row r="323" spans="1:8" x14ac:dyDescent="0.5">
      <c r="A323" s="1">
        <v>6</v>
      </c>
      <c r="B323" s="1" t="s">
        <v>351</v>
      </c>
      <c r="C323" s="1" t="s">
        <v>29</v>
      </c>
      <c r="D323" s="1">
        <v>97</v>
      </c>
      <c r="E323" s="1">
        <v>0</v>
      </c>
      <c r="F323" s="1">
        <v>97</v>
      </c>
      <c r="G323" s="1">
        <v>0.04</v>
      </c>
      <c r="H323" s="1">
        <v>31</v>
      </c>
    </row>
    <row r="324" spans="1:8" x14ac:dyDescent="0.5">
      <c r="A324" s="1">
        <v>7</v>
      </c>
      <c r="B324" s="1" t="s">
        <v>352</v>
      </c>
      <c r="C324" s="1" t="s">
        <v>353</v>
      </c>
      <c r="D324" s="1">
        <v>69</v>
      </c>
      <c r="E324" s="1">
        <v>0</v>
      </c>
      <c r="F324" s="1">
        <v>69</v>
      </c>
      <c r="G324" s="1">
        <v>0.03</v>
      </c>
      <c r="H324" s="1">
        <v>31</v>
      </c>
    </row>
    <row r="325" spans="1:8" x14ac:dyDescent="0.5">
      <c r="A325" s="1">
        <v>8</v>
      </c>
      <c r="B325" s="1" t="s">
        <v>354</v>
      </c>
      <c r="C325" s="1" t="s">
        <v>143</v>
      </c>
      <c r="D325" s="1">
        <v>139</v>
      </c>
      <c r="E325" s="1">
        <v>0</v>
      </c>
      <c r="F325" s="1">
        <v>139</v>
      </c>
      <c r="G325" s="1">
        <v>0.05</v>
      </c>
      <c r="H325" s="1">
        <v>31</v>
      </c>
    </row>
    <row r="326" spans="1:8" x14ac:dyDescent="0.5">
      <c r="A326" s="1">
        <v>9</v>
      </c>
      <c r="B326" s="1" t="s">
        <v>355</v>
      </c>
      <c r="C326" s="1" t="s">
        <v>356</v>
      </c>
      <c r="D326" s="1">
        <v>297</v>
      </c>
      <c r="E326" s="1">
        <v>0</v>
      </c>
      <c r="F326" s="1">
        <v>297</v>
      </c>
      <c r="G326" s="1">
        <v>0.11</v>
      </c>
      <c r="H326" s="1">
        <v>31</v>
      </c>
    </row>
    <row r="327" spans="1:8" x14ac:dyDescent="0.5">
      <c r="A327" s="1">
        <v>10</v>
      </c>
      <c r="B327" s="1" t="s">
        <v>357</v>
      </c>
      <c r="C327" s="1" t="s">
        <v>91</v>
      </c>
      <c r="D327" s="1">
        <v>420</v>
      </c>
      <c r="E327" s="1">
        <v>0</v>
      </c>
      <c r="F327" s="1">
        <v>420</v>
      </c>
      <c r="G327" s="1">
        <v>0.15</v>
      </c>
      <c r="H327" s="1">
        <v>31</v>
      </c>
    </row>
    <row r="328" spans="1:8" x14ac:dyDescent="0.5">
      <c r="A328" s="1">
        <v>11</v>
      </c>
      <c r="B328" s="1" t="s">
        <v>358</v>
      </c>
      <c r="C328" s="1" t="s">
        <v>79</v>
      </c>
      <c r="D328" s="1">
        <v>685</v>
      </c>
      <c r="E328" s="1">
        <v>2</v>
      </c>
      <c r="F328" s="1">
        <v>687</v>
      </c>
      <c r="G328" s="1">
        <v>0.25</v>
      </c>
      <c r="H328" s="1">
        <v>31</v>
      </c>
    </row>
    <row r="329" spans="1:8" x14ac:dyDescent="0.5">
      <c r="A329" s="1">
        <v>12</v>
      </c>
      <c r="B329" s="1" t="s">
        <v>359</v>
      </c>
      <c r="C329" s="1" t="s">
        <v>18</v>
      </c>
      <c r="D329" s="1">
        <v>286</v>
      </c>
      <c r="E329" s="1">
        <v>0</v>
      </c>
      <c r="F329" s="1">
        <v>286</v>
      </c>
      <c r="G329" s="1">
        <v>0.1</v>
      </c>
      <c r="H329" s="1">
        <v>31</v>
      </c>
    </row>
    <row r="330" spans="1:8" x14ac:dyDescent="0.5">
      <c r="A330" s="1">
        <v>13</v>
      </c>
      <c r="B330" s="1" t="s">
        <v>360</v>
      </c>
      <c r="C330" s="1" t="s">
        <v>18</v>
      </c>
      <c r="D330" s="1">
        <v>390</v>
      </c>
      <c r="E330" s="1">
        <v>1</v>
      </c>
      <c r="F330" s="1">
        <v>391</v>
      </c>
      <c r="G330" s="1">
        <v>0.14000000000000001</v>
      </c>
      <c r="H330" s="1">
        <v>31</v>
      </c>
    </row>
    <row r="331" spans="1:8" x14ac:dyDescent="0.5">
      <c r="A331" s="1">
        <v>14</v>
      </c>
      <c r="B331" s="1" t="s">
        <v>20</v>
      </c>
      <c r="C331" s="1" t="s">
        <v>21</v>
      </c>
      <c r="D331" s="1">
        <v>1452</v>
      </c>
      <c r="E331" s="1">
        <v>8</v>
      </c>
      <c r="F331" s="1">
        <v>1460</v>
      </c>
      <c r="G331" s="1">
        <v>0.53</v>
      </c>
      <c r="H331" s="1">
        <v>31</v>
      </c>
    </row>
    <row r="332" spans="1:8" x14ac:dyDescent="0.5">
      <c r="A332" s="16">
        <v>1</v>
      </c>
      <c r="B332" s="16" t="s">
        <v>361</v>
      </c>
      <c r="C332" s="16" t="s">
        <v>782</v>
      </c>
      <c r="D332" s="16">
        <v>103137</v>
      </c>
      <c r="E332" s="16">
        <v>476</v>
      </c>
      <c r="F332" s="16">
        <v>103613</v>
      </c>
      <c r="G332" s="16">
        <v>52.84</v>
      </c>
      <c r="H332" s="16">
        <v>32</v>
      </c>
    </row>
    <row r="333" spans="1:8" x14ac:dyDescent="0.5">
      <c r="A333" s="1">
        <v>2</v>
      </c>
      <c r="B333" s="1" t="s">
        <v>362</v>
      </c>
      <c r="C333" s="1" t="s">
        <v>12</v>
      </c>
      <c r="D333" s="1">
        <v>73705</v>
      </c>
      <c r="E333" s="1">
        <v>168</v>
      </c>
      <c r="F333" s="1">
        <v>73873</v>
      </c>
      <c r="G333" s="1">
        <v>37.67</v>
      </c>
      <c r="H333" s="1">
        <v>32</v>
      </c>
    </row>
    <row r="334" spans="1:8" x14ac:dyDescent="0.5">
      <c r="A334" s="1">
        <v>3</v>
      </c>
      <c r="B334" s="1" t="s">
        <v>363</v>
      </c>
      <c r="C334" s="1" t="s">
        <v>23</v>
      </c>
      <c r="D334" s="1">
        <v>983</v>
      </c>
      <c r="E334" s="1">
        <v>8</v>
      </c>
      <c r="F334" s="1">
        <v>991</v>
      </c>
      <c r="G334" s="1">
        <v>0.51</v>
      </c>
      <c r="H334" s="1">
        <v>32</v>
      </c>
    </row>
    <row r="335" spans="1:8" x14ac:dyDescent="0.5">
      <c r="A335" s="1">
        <v>4</v>
      </c>
      <c r="B335" s="1" t="s">
        <v>364</v>
      </c>
      <c r="C335" s="1" t="s">
        <v>9</v>
      </c>
      <c r="D335" s="1">
        <v>15474</v>
      </c>
      <c r="E335" s="1">
        <v>91</v>
      </c>
      <c r="F335" s="1">
        <v>15565</v>
      </c>
      <c r="G335" s="1">
        <v>7.94</v>
      </c>
      <c r="H335" s="1">
        <v>32</v>
      </c>
    </row>
    <row r="336" spans="1:8" x14ac:dyDescent="0.5">
      <c r="A336" s="1">
        <v>5</v>
      </c>
      <c r="B336" s="1" t="s">
        <v>365</v>
      </c>
      <c r="C336" s="1" t="s">
        <v>103</v>
      </c>
      <c r="D336" s="1">
        <v>185</v>
      </c>
      <c r="E336" s="1">
        <v>0</v>
      </c>
      <c r="F336" s="1">
        <v>185</v>
      </c>
      <c r="G336" s="1">
        <v>0.09</v>
      </c>
      <c r="H336" s="1">
        <v>32</v>
      </c>
    </row>
    <row r="337" spans="1:8" x14ac:dyDescent="0.5">
      <c r="A337" s="1">
        <v>6</v>
      </c>
      <c r="B337" s="1" t="s">
        <v>366</v>
      </c>
      <c r="C337" s="1" t="s">
        <v>367</v>
      </c>
      <c r="D337" s="1">
        <v>79</v>
      </c>
      <c r="E337" s="1">
        <v>0</v>
      </c>
      <c r="F337" s="1">
        <v>79</v>
      </c>
      <c r="G337" s="1">
        <v>0.04</v>
      </c>
      <c r="H337" s="1">
        <v>32</v>
      </c>
    </row>
    <row r="338" spans="1:8" x14ac:dyDescent="0.5">
      <c r="A338" s="1">
        <v>7</v>
      </c>
      <c r="B338" s="1" t="s">
        <v>368</v>
      </c>
      <c r="C338" s="1" t="s">
        <v>369</v>
      </c>
      <c r="D338" s="1">
        <v>168</v>
      </c>
      <c r="E338" s="1">
        <v>0</v>
      </c>
      <c r="F338" s="1">
        <v>168</v>
      </c>
      <c r="G338" s="1">
        <v>0.09</v>
      </c>
      <c r="H338" s="1">
        <v>32</v>
      </c>
    </row>
    <row r="339" spans="1:8" x14ac:dyDescent="0.5">
      <c r="A339" s="1">
        <v>8</v>
      </c>
      <c r="B339" s="1" t="s">
        <v>370</v>
      </c>
      <c r="C339" s="1" t="s">
        <v>18</v>
      </c>
      <c r="D339" s="1">
        <v>204</v>
      </c>
      <c r="E339" s="1">
        <v>2</v>
      </c>
      <c r="F339" s="1">
        <v>206</v>
      </c>
      <c r="G339" s="1">
        <v>0.11</v>
      </c>
      <c r="H339" s="1">
        <v>32</v>
      </c>
    </row>
    <row r="340" spans="1:8" x14ac:dyDescent="0.5">
      <c r="A340" s="1">
        <v>9</v>
      </c>
      <c r="B340" s="1" t="s">
        <v>371</v>
      </c>
      <c r="C340" s="1" t="s">
        <v>18</v>
      </c>
      <c r="D340" s="1">
        <v>196</v>
      </c>
      <c r="E340" s="1">
        <v>0</v>
      </c>
      <c r="F340" s="1">
        <v>196</v>
      </c>
      <c r="G340" s="1">
        <v>0.1</v>
      </c>
      <c r="H340" s="1">
        <v>32</v>
      </c>
    </row>
    <row r="341" spans="1:8" x14ac:dyDescent="0.5">
      <c r="A341" s="1">
        <v>10</v>
      </c>
      <c r="B341" s="1" t="s">
        <v>20</v>
      </c>
      <c r="C341" s="1" t="s">
        <v>21</v>
      </c>
      <c r="D341" s="1">
        <v>1209</v>
      </c>
      <c r="E341" s="1">
        <v>8</v>
      </c>
      <c r="F341" s="1">
        <v>1217</v>
      </c>
      <c r="G341" s="1">
        <v>0.62</v>
      </c>
      <c r="H341" s="1">
        <v>32</v>
      </c>
    </row>
    <row r="342" spans="1:8" x14ac:dyDescent="0.5">
      <c r="A342" s="1">
        <v>1</v>
      </c>
      <c r="B342" s="1" t="s">
        <v>372</v>
      </c>
      <c r="C342" s="1" t="s">
        <v>9</v>
      </c>
      <c r="D342" s="1">
        <v>6723</v>
      </c>
      <c r="E342" s="1">
        <v>50</v>
      </c>
      <c r="F342" s="1">
        <v>6773</v>
      </c>
      <c r="G342" s="1">
        <v>4.8600000000000003</v>
      </c>
      <c r="H342" s="1">
        <v>33</v>
      </c>
    </row>
    <row r="343" spans="1:8" x14ac:dyDescent="0.5">
      <c r="A343" s="1">
        <v>2</v>
      </c>
      <c r="B343" s="1" t="s">
        <v>373</v>
      </c>
      <c r="C343" s="1" t="s">
        <v>23</v>
      </c>
      <c r="D343" s="1">
        <v>541</v>
      </c>
      <c r="E343" s="1">
        <v>4</v>
      </c>
      <c r="F343" s="1">
        <v>545</v>
      </c>
      <c r="G343" s="1">
        <v>0.39</v>
      </c>
      <c r="H343" s="1">
        <v>33</v>
      </c>
    </row>
    <row r="344" spans="1:8" x14ac:dyDescent="0.5">
      <c r="A344" s="16">
        <v>3</v>
      </c>
      <c r="B344" s="16" t="s">
        <v>374</v>
      </c>
      <c r="C344" s="16" t="s">
        <v>782</v>
      </c>
      <c r="D344" s="16">
        <v>68832</v>
      </c>
      <c r="E344" s="16">
        <v>305</v>
      </c>
      <c r="F344" s="16">
        <v>69137</v>
      </c>
      <c r="G344" s="16">
        <v>49.56</v>
      </c>
      <c r="H344" s="16">
        <v>33</v>
      </c>
    </row>
    <row r="345" spans="1:8" x14ac:dyDescent="0.5">
      <c r="A345" s="1">
        <v>4</v>
      </c>
      <c r="B345" s="1" t="s">
        <v>375</v>
      </c>
      <c r="C345" s="1" t="s">
        <v>12</v>
      </c>
      <c r="D345" s="1">
        <v>61136</v>
      </c>
      <c r="E345" s="1">
        <v>172</v>
      </c>
      <c r="F345" s="1">
        <v>61308</v>
      </c>
      <c r="G345" s="1">
        <v>43.95</v>
      </c>
      <c r="H345" s="1">
        <v>33</v>
      </c>
    </row>
    <row r="346" spans="1:8" x14ac:dyDescent="0.5">
      <c r="A346" s="1">
        <v>5</v>
      </c>
      <c r="B346" s="1" t="s">
        <v>376</v>
      </c>
      <c r="C346" s="1" t="s">
        <v>336</v>
      </c>
      <c r="D346" s="1">
        <v>131</v>
      </c>
      <c r="E346" s="1">
        <v>0</v>
      </c>
      <c r="F346" s="1">
        <v>131</v>
      </c>
      <c r="G346" s="1">
        <v>0.09</v>
      </c>
      <c r="H346" s="1">
        <v>33</v>
      </c>
    </row>
    <row r="347" spans="1:8" x14ac:dyDescent="0.5">
      <c r="A347" s="1">
        <v>6</v>
      </c>
      <c r="B347" s="1" t="s">
        <v>377</v>
      </c>
      <c r="C347" s="1" t="s">
        <v>378</v>
      </c>
      <c r="D347" s="1">
        <v>58</v>
      </c>
      <c r="E347" s="1">
        <v>0</v>
      </c>
      <c r="F347" s="1">
        <v>58</v>
      </c>
      <c r="G347" s="1">
        <v>0.04</v>
      </c>
      <c r="H347" s="1">
        <v>33</v>
      </c>
    </row>
    <row r="348" spans="1:8" x14ac:dyDescent="0.5">
      <c r="A348" s="1">
        <v>7</v>
      </c>
      <c r="B348" s="1" t="s">
        <v>379</v>
      </c>
      <c r="C348" s="1" t="s">
        <v>380</v>
      </c>
      <c r="D348" s="1">
        <v>76</v>
      </c>
      <c r="E348" s="1">
        <v>0</v>
      </c>
      <c r="F348" s="1">
        <v>76</v>
      </c>
      <c r="G348" s="1">
        <v>0.05</v>
      </c>
      <c r="H348" s="1">
        <v>33</v>
      </c>
    </row>
    <row r="349" spans="1:8" x14ac:dyDescent="0.5">
      <c r="A349" s="1">
        <v>8</v>
      </c>
      <c r="B349" s="1" t="s">
        <v>381</v>
      </c>
      <c r="C349" s="1" t="s">
        <v>33</v>
      </c>
      <c r="D349" s="1">
        <v>44</v>
      </c>
      <c r="E349" s="1">
        <v>0</v>
      </c>
      <c r="F349" s="1">
        <v>44</v>
      </c>
      <c r="G349" s="1">
        <v>0.03</v>
      </c>
      <c r="H349" s="1">
        <v>33</v>
      </c>
    </row>
    <row r="350" spans="1:8" x14ac:dyDescent="0.5">
      <c r="A350" s="1">
        <v>9</v>
      </c>
      <c r="B350" s="1" t="s">
        <v>382</v>
      </c>
      <c r="C350" s="1" t="s">
        <v>76</v>
      </c>
      <c r="D350" s="1">
        <v>130</v>
      </c>
      <c r="E350" s="1">
        <v>0</v>
      </c>
      <c r="F350" s="1">
        <v>130</v>
      </c>
      <c r="G350" s="1">
        <v>0.09</v>
      </c>
      <c r="H350" s="1">
        <v>33</v>
      </c>
    </row>
    <row r="351" spans="1:8" x14ac:dyDescent="0.5">
      <c r="A351" s="1">
        <v>10</v>
      </c>
      <c r="B351" s="1" t="s">
        <v>383</v>
      </c>
      <c r="C351" s="1" t="s">
        <v>53</v>
      </c>
      <c r="D351" s="1">
        <v>73</v>
      </c>
      <c r="E351" s="1">
        <v>1</v>
      </c>
      <c r="F351" s="1">
        <v>74</v>
      </c>
      <c r="G351" s="1">
        <v>0.05</v>
      </c>
      <c r="H351" s="1">
        <v>33</v>
      </c>
    </row>
    <row r="352" spans="1:8" x14ac:dyDescent="0.5">
      <c r="A352" s="1">
        <v>11</v>
      </c>
      <c r="B352" s="1" t="s">
        <v>384</v>
      </c>
      <c r="C352" s="1" t="s">
        <v>143</v>
      </c>
      <c r="D352" s="1">
        <v>223</v>
      </c>
      <c r="E352" s="1">
        <v>0</v>
      </c>
      <c r="F352" s="1">
        <v>223</v>
      </c>
      <c r="G352" s="1">
        <v>0.16</v>
      </c>
      <c r="H352" s="1">
        <v>33</v>
      </c>
    </row>
    <row r="353" spans="1:8" x14ac:dyDescent="0.5">
      <c r="A353" s="1">
        <v>12</v>
      </c>
      <c r="B353" s="1" t="s">
        <v>385</v>
      </c>
      <c r="C353" s="1" t="s">
        <v>18</v>
      </c>
      <c r="D353" s="1">
        <v>172</v>
      </c>
      <c r="E353" s="1">
        <v>0</v>
      </c>
      <c r="F353" s="1">
        <v>172</v>
      </c>
      <c r="G353" s="1">
        <v>0.12</v>
      </c>
      <c r="H353" s="1">
        <v>33</v>
      </c>
    </row>
    <row r="354" spans="1:8" x14ac:dyDescent="0.5">
      <c r="A354" s="1">
        <v>13</v>
      </c>
      <c r="B354" s="1" t="s">
        <v>386</v>
      </c>
      <c r="C354" s="1" t="s">
        <v>18</v>
      </c>
      <c r="D354" s="1">
        <v>104</v>
      </c>
      <c r="E354" s="1">
        <v>0</v>
      </c>
      <c r="F354" s="1">
        <v>104</v>
      </c>
      <c r="G354" s="1">
        <v>7.0000000000000007E-2</v>
      </c>
      <c r="H354" s="1">
        <v>33</v>
      </c>
    </row>
    <row r="355" spans="1:8" x14ac:dyDescent="0.5">
      <c r="A355" s="1">
        <v>14</v>
      </c>
      <c r="B355" s="1" t="s">
        <v>20</v>
      </c>
      <c r="C355" s="1" t="s">
        <v>21</v>
      </c>
      <c r="D355" s="1">
        <v>725</v>
      </c>
      <c r="E355" s="1">
        <v>4</v>
      </c>
      <c r="F355" s="1">
        <v>729</v>
      </c>
      <c r="G355" s="1">
        <v>0.52</v>
      </c>
      <c r="H355" s="1">
        <v>33</v>
      </c>
    </row>
    <row r="356" spans="1:8" x14ac:dyDescent="0.5">
      <c r="A356" s="1">
        <v>1</v>
      </c>
      <c r="B356" s="1" t="s">
        <v>387</v>
      </c>
      <c r="C356" s="1" t="s">
        <v>23</v>
      </c>
      <c r="D356" s="1">
        <v>1116</v>
      </c>
      <c r="E356" s="1">
        <v>18</v>
      </c>
      <c r="F356" s="1">
        <v>1134</v>
      </c>
      <c r="G356" s="1">
        <v>0.41</v>
      </c>
      <c r="H356" s="1">
        <v>34</v>
      </c>
    </row>
    <row r="357" spans="1:8" x14ac:dyDescent="0.5">
      <c r="A357" s="1">
        <v>2</v>
      </c>
      <c r="B357" s="1" t="s">
        <v>388</v>
      </c>
      <c r="C357" s="1" t="s">
        <v>9</v>
      </c>
      <c r="D357" s="1">
        <v>9565</v>
      </c>
      <c r="E357" s="1">
        <v>120</v>
      </c>
      <c r="F357" s="1">
        <v>9685</v>
      </c>
      <c r="G357" s="1">
        <v>3.47</v>
      </c>
      <c r="H357" s="1">
        <v>34</v>
      </c>
    </row>
    <row r="358" spans="1:8" x14ac:dyDescent="0.5">
      <c r="A358" s="1">
        <v>3</v>
      </c>
      <c r="B358" s="1" t="s">
        <v>389</v>
      </c>
      <c r="C358" s="1" t="s">
        <v>12</v>
      </c>
      <c r="D358" s="1">
        <v>117042</v>
      </c>
      <c r="E358" s="1">
        <v>530</v>
      </c>
      <c r="F358" s="1">
        <v>117572</v>
      </c>
      <c r="G358" s="1">
        <v>42.16</v>
      </c>
      <c r="H358" s="1">
        <v>34</v>
      </c>
    </row>
    <row r="359" spans="1:8" x14ac:dyDescent="0.5">
      <c r="A359" s="16">
        <v>4</v>
      </c>
      <c r="B359" s="16" t="s">
        <v>390</v>
      </c>
      <c r="C359" s="16" t="s">
        <v>782</v>
      </c>
      <c r="D359" s="16">
        <v>144938</v>
      </c>
      <c r="E359" s="16">
        <v>1357</v>
      </c>
      <c r="F359" s="16">
        <v>146295</v>
      </c>
      <c r="G359" s="16">
        <v>52.46</v>
      </c>
      <c r="H359" s="16">
        <v>34</v>
      </c>
    </row>
    <row r="360" spans="1:8" x14ac:dyDescent="0.5">
      <c r="A360" s="1">
        <v>5</v>
      </c>
      <c r="B360" s="1" t="s">
        <v>391</v>
      </c>
      <c r="C360" s="1" t="s">
        <v>29</v>
      </c>
      <c r="D360" s="1">
        <v>345</v>
      </c>
      <c r="E360" s="1">
        <v>0</v>
      </c>
      <c r="F360" s="1">
        <v>345</v>
      </c>
      <c r="G360" s="1">
        <v>0.12</v>
      </c>
      <c r="H360" s="1">
        <v>34</v>
      </c>
    </row>
    <row r="361" spans="1:8" x14ac:dyDescent="0.5">
      <c r="A361" s="1">
        <v>6</v>
      </c>
      <c r="B361" s="1" t="s">
        <v>392</v>
      </c>
      <c r="C361" s="1" t="s">
        <v>76</v>
      </c>
      <c r="D361" s="1">
        <v>73</v>
      </c>
      <c r="E361" s="1">
        <v>0</v>
      </c>
      <c r="F361" s="1">
        <v>73</v>
      </c>
      <c r="G361" s="1">
        <v>0.03</v>
      </c>
      <c r="H361" s="1">
        <v>34</v>
      </c>
    </row>
    <row r="362" spans="1:8" x14ac:dyDescent="0.5">
      <c r="A362" s="1">
        <v>7</v>
      </c>
      <c r="B362" s="1" t="s">
        <v>393</v>
      </c>
      <c r="C362" s="1" t="s">
        <v>394</v>
      </c>
      <c r="D362" s="1">
        <v>157</v>
      </c>
      <c r="E362" s="1">
        <v>5</v>
      </c>
      <c r="F362" s="1">
        <v>162</v>
      </c>
      <c r="G362" s="1">
        <v>0.06</v>
      </c>
      <c r="H362" s="1">
        <v>34</v>
      </c>
    </row>
    <row r="363" spans="1:8" x14ac:dyDescent="0.5">
      <c r="A363" s="1">
        <v>8</v>
      </c>
      <c r="B363" s="1" t="s">
        <v>395</v>
      </c>
      <c r="C363" s="1" t="s">
        <v>353</v>
      </c>
      <c r="D363" s="1">
        <v>88</v>
      </c>
      <c r="E363" s="1">
        <v>0</v>
      </c>
      <c r="F363" s="1">
        <v>88</v>
      </c>
      <c r="G363" s="1">
        <v>0.03</v>
      </c>
      <c r="H363" s="1">
        <v>34</v>
      </c>
    </row>
    <row r="364" spans="1:8" x14ac:dyDescent="0.5">
      <c r="A364" s="1">
        <v>9</v>
      </c>
      <c r="B364" s="1" t="s">
        <v>396</v>
      </c>
      <c r="C364" s="1" t="s">
        <v>33</v>
      </c>
      <c r="D364" s="1">
        <v>121</v>
      </c>
      <c r="E364" s="1">
        <v>0</v>
      </c>
      <c r="F364" s="1">
        <v>121</v>
      </c>
      <c r="G364" s="1">
        <v>0.04</v>
      </c>
      <c r="H364" s="1">
        <v>34</v>
      </c>
    </row>
    <row r="365" spans="1:8" x14ac:dyDescent="0.5">
      <c r="A365" s="1">
        <v>10</v>
      </c>
      <c r="B365" s="1" t="s">
        <v>397</v>
      </c>
      <c r="C365" s="1" t="s">
        <v>336</v>
      </c>
      <c r="D365" s="1">
        <v>156</v>
      </c>
      <c r="E365" s="1">
        <v>1</v>
      </c>
      <c r="F365" s="1">
        <v>157</v>
      </c>
      <c r="G365" s="1">
        <v>0.06</v>
      </c>
      <c r="H365" s="1">
        <v>34</v>
      </c>
    </row>
    <row r="366" spans="1:8" x14ac:dyDescent="0.5">
      <c r="A366" s="1">
        <v>11</v>
      </c>
      <c r="B366" s="1" t="s">
        <v>398</v>
      </c>
      <c r="C366" s="1" t="s">
        <v>18</v>
      </c>
      <c r="D366" s="1">
        <v>498</v>
      </c>
      <c r="E366" s="1">
        <v>3</v>
      </c>
      <c r="F366" s="1">
        <v>501</v>
      </c>
      <c r="G366" s="1">
        <v>0.18</v>
      </c>
      <c r="H366" s="1">
        <v>34</v>
      </c>
    </row>
    <row r="367" spans="1:8" x14ac:dyDescent="0.5">
      <c r="A367" s="1">
        <v>12</v>
      </c>
      <c r="B367" s="1" t="s">
        <v>399</v>
      </c>
      <c r="C367" s="1" t="s">
        <v>18</v>
      </c>
      <c r="D367" s="1">
        <v>569</v>
      </c>
      <c r="E367" s="1">
        <v>0</v>
      </c>
      <c r="F367" s="1">
        <v>569</v>
      </c>
      <c r="G367" s="1">
        <v>0.2</v>
      </c>
      <c r="H367" s="1">
        <v>34</v>
      </c>
    </row>
    <row r="368" spans="1:8" x14ac:dyDescent="0.5">
      <c r="A368" s="1">
        <v>13</v>
      </c>
      <c r="B368" s="1" t="s">
        <v>400</v>
      </c>
      <c r="C368" s="1" t="s">
        <v>18</v>
      </c>
      <c r="D368" s="1">
        <v>174</v>
      </c>
      <c r="E368" s="1">
        <v>0</v>
      </c>
      <c r="F368" s="1">
        <v>174</v>
      </c>
      <c r="G368" s="1">
        <v>0.06</v>
      </c>
      <c r="H368" s="1">
        <v>34</v>
      </c>
    </row>
    <row r="369" spans="1:8" x14ac:dyDescent="0.5">
      <c r="A369" s="1">
        <v>14</v>
      </c>
      <c r="B369" s="1" t="s">
        <v>20</v>
      </c>
      <c r="C369" s="1" t="s">
        <v>21</v>
      </c>
      <c r="D369" s="1">
        <v>1994</v>
      </c>
      <c r="E369" s="1">
        <v>24</v>
      </c>
      <c r="F369" s="1">
        <v>2018</v>
      </c>
      <c r="G369" s="1">
        <v>0.72</v>
      </c>
      <c r="H369" s="1">
        <v>34</v>
      </c>
    </row>
    <row r="370" spans="1:8" x14ac:dyDescent="0.5">
      <c r="A370" s="1">
        <v>1</v>
      </c>
      <c r="B370" s="1" t="s">
        <v>52</v>
      </c>
      <c r="C370" s="1" t="s">
        <v>12</v>
      </c>
      <c r="D370" s="1">
        <v>72024</v>
      </c>
      <c r="E370" s="1">
        <v>675</v>
      </c>
      <c r="F370" s="1">
        <v>72699</v>
      </c>
      <c r="G370" s="1">
        <v>40.31</v>
      </c>
      <c r="H370" s="1">
        <v>35</v>
      </c>
    </row>
    <row r="371" spans="1:8" x14ac:dyDescent="0.5">
      <c r="A371" s="16">
        <v>2</v>
      </c>
      <c r="B371" s="16" t="s">
        <v>401</v>
      </c>
      <c r="C371" s="16" t="s">
        <v>782</v>
      </c>
      <c r="D371" s="16">
        <v>100058</v>
      </c>
      <c r="E371" s="16">
        <v>1650</v>
      </c>
      <c r="F371" s="16">
        <v>101708</v>
      </c>
      <c r="G371" s="16">
        <v>56.4</v>
      </c>
      <c r="H371" s="16">
        <v>35</v>
      </c>
    </row>
    <row r="372" spans="1:8" x14ac:dyDescent="0.5">
      <c r="A372" s="1">
        <v>3</v>
      </c>
      <c r="B372" s="1" t="s">
        <v>402</v>
      </c>
      <c r="C372" s="1" t="s">
        <v>23</v>
      </c>
      <c r="D372" s="1">
        <v>873</v>
      </c>
      <c r="E372" s="1">
        <v>30</v>
      </c>
      <c r="F372" s="1">
        <v>903</v>
      </c>
      <c r="G372" s="1">
        <v>0.5</v>
      </c>
      <c r="H372" s="1">
        <v>35</v>
      </c>
    </row>
    <row r="373" spans="1:8" x14ac:dyDescent="0.5">
      <c r="A373" s="1">
        <v>4</v>
      </c>
      <c r="B373" s="1" t="s">
        <v>403</v>
      </c>
      <c r="C373" s="1" t="s">
        <v>9</v>
      </c>
      <c r="D373" s="1">
        <v>2839</v>
      </c>
      <c r="E373" s="1">
        <v>63</v>
      </c>
      <c r="F373" s="1">
        <v>2902</v>
      </c>
      <c r="G373" s="1">
        <v>1.61</v>
      </c>
      <c r="H373" s="1">
        <v>35</v>
      </c>
    </row>
    <row r="374" spans="1:8" x14ac:dyDescent="0.5">
      <c r="A374" s="1">
        <v>5</v>
      </c>
      <c r="B374" s="1" t="s">
        <v>404</v>
      </c>
      <c r="C374" s="1" t="s">
        <v>405</v>
      </c>
      <c r="D374" s="1">
        <v>210</v>
      </c>
      <c r="E374" s="1">
        <v>4</v>
      </c>
      <c r="F374" s="1">
        <v>214</v>
      </c>
      <c r="G374" s="1">
        <v>0.12</v>
      </c>
      <c r="H374" s="1">
        <v>35</v>
      </c>
    </row>
    <row r="375" spans="1:8" x14ac:dyDescent="0.5">
      <c r="A375" s="1">
        <v>6</v>
      </c>
      <c r="B375" s="1" t="s">
        <v>406</v>
      </c>
      <c r="C375" s="1" t="s">
        <v>60</v>
      </c>
      <c r="D375" s="1">
        <v>88</v>
      </c>
      <c r="E375" s="1">
        <v>5</v>
      </c>
      <c r="F375" s="1">
        <v>93</v>
      </c>
      <c r="G375" s="1">
        <v>0.05</v>
      </c>
      <c r="H375" s="1">
        <v>35</v>
      </c>
    </row>
    <row r="376" spans="1:8" x14ac:dyDescent="0.5">
      <c r="A376" s="1">
        <v>7</v>
      </c>
      <c r="B376" s="1" t="s">
        <v>269</v>
      </c>
      <c r="C376" s="1" t="s">
        <v>33</v>
      </c>
      <c r="D376" s="1">
        <v>70</v>
      </c>
      <c r="E376" s="1">
        <v>1</v>
      </c>
      <c r="F376" s="1">
        <v>71</v>
      </c>
      <c r="G376" s="1">
        <v>0.04</v>
      </c>
      <c r="H376" s="1">
        <v>35</v>
      </c>
    </row>
    <row r="377" spans="1:8" x14ac:dyDescent="0.5">
      <c r="A377" s="1">
        <v>8</v>
      </c>
      <c r="B377" s="1" t="s">
        <v>407</v>
      </c>
      <c r="C377" s="1" t="s">
        <v>18</v>
      </c>
      <c r="D377" s="1">
        <v>173</v>
      </c>
      <c r="E377" s="1">
        <v>0</v>
      </c>
      <c r="F377" s="1">
        <v>173</v>
      </c>
      <c r="G377" s="1">
        <v>0.1</v>
      </c>
      <c r="H377" s="1">
        <v>35</v>
      </c>
    </row>
    <row r="378" spans="1:8" x14ac:dyDescent="0.5">
      <c r="A378" s="1">
        <v>9</v>
      </c>
      <c r="B378" s="1" t="s">
        <v>408</v>
      </c>
      <c r="C378" s="1" t="s">
        <v>18</v>
      </c>
      <c r="D378" s="1">
        <v>222</v>
      </c>
      <c r="E378" s="1">
        <v>3</v>
      </c>
      <c r="F378" s="1">
        <v>225</v>
      </c>
      <c r="G378" s="1">
        <v>0.12</v>
      </c>
      <c r="H378" s="1">
        <v>35</v>
      </c>
    </row>
    <row r="379" spans="1:8" x14ac:dyDescent="0.5">
      <c r="A379" s="1">
        <v>10</v>
      </c>
      <c r="B379" s="1" t="s">
        <v>20</v>
      </c>
      <c r="C379" s="1" t="s">
        <v>21</v>
      </c>
      <c r="D379" s="1">
        <v>1317</v>
      </c>
      <c r="E379" s="1">
        <v>29</v>
      </c>
      <c r="F379" s="1">
        <v>1346</v>
      </c>
      <c r="G379" s="1">
        <v>0.75</v>
      </c>
      <c r="H379" s="1">
        <v>35</v>
      </c>
    </row>
    <row r="380" spans="1:8" x14ac:dyDescent="0.5">
      <c r="A380" s="1">
        <v>1</v>
      </c>
      <c r="B380" s="1" t="s">
        <v>409</v>
      </c>
      <c r="C380" s="1" t="s">
        <v>23</v>
      </c>
      <c r="D380" s="1">
        <v>698</v>
      </c>
      <c r="E380" s="1">
        <v>4</v>
      </c>
      <c r="F380" s="1">
        <v>702</v>
      </c>
      <c r="G380" s="1">
        <v>0.54</v>
      </c>
      <c r="H380" s="1">
        <v>36</v>
      </c>
    </row>
    <row r="381" spans="1:8" x14ac:dyDescent="0.5">
      <c r="A381" s="16">
        <v>2</v>
      </c>
      <c r="B381" s="16" t="s">
        <v>410</v>
      </c>
      <c r="C381" s="16" t="s">
        <v>782</v>
      </c>
      <c r="D381" s="16">
        <v>64587</v>
      </c>
      <c r="E381" s="16">
        <v>364</v>
      </c>
      <c r="F381" s="16">
        <v>64951</v>
      </c>
      <c r="G381" s="16">
        <v>49.77</v>
      </c>
      <c r="H381" s="16">
        <v>36</v>
      </c>
    </row>
    <row r="382" spans="1:8" x14ac:dyDescent="0.5">
      <c r="A382" s="1">
        <v>3</v>
      </c>
      <c r="B382" s="1" t="s">
        <v>411</v>
      </c>
      <c r="C382" s="1" t="s">
        <v>9</v>
      </c>
      <c r="D382" s="1">
        <v>9334</v>
      </c>
      <c r="E382" s="1">
        <v>75</v>
      </c>
      <c r="F382" s="1">
        <v>9409</v>
      </c>
      <c r="G382" s="1">
        <v>7.21</v>
      </c>
      <c r="H382" s="1">
        <v>36</v>
      </c>
    </row>
    <row r="383" spans="1:8" x14ac:dyDescent="0.5">
      <c r="A383" s="1">
        <v>4</v>
      </c>
      <c r="B383" s="1" t="s">
        <v>412</v>
      </c>
      <c r="C383" s="1" t="s">
        <v>12</v>
      </c>
      <c r="D383" s="1">
        <v>53462</v>
      </c>
      <c r="E383" s="1">
        <v>213</v>
      </c>
      <c r="F383" s="1">
        <v>53675</v>
      </c>
      <c r="G383" s="1">
        <v>41.13</v>
      </c>
      <c r="H383" s="1">
        <v>36</v>
      </c>
    </row>
    <row r="384" spans="1:8" x14ac:dyDescent="0.5">
      <c r="A384" s="1">
        <v>5</v>
      </c>
      <c r="B384" s="1" t="s">
        <v>413</v>
      </c>
      <c r="C384" s="1" t="s">
        <v>53</v>
      </c>
      <c r="D384" s="1">
        <v>96</v>
      </c>
      <c r="E384" s="1">
        <v>0</v>
      </c>
      <c r="F384" s="1">
        <v>96</v>
      </c>
      <c r="G384" s="1">
        <v>7.0000000000000007E-2</v>
      </c>
      <c r="H384" s="1">
        <v>36</v>
      </c>
    </row>
    <row r="385" spans="1:8" x14ac:dyDescent="0.5">
      <c r="A385" s="1">
        <v>6</v>
      </c>
      <c r="B385" s="1" t="s">
        <v>414</v>
      </c>
      <c r="C385" s="1" t="s">
        <v>299</v>
      </c>
      <c r="D385" s="1">
        <v>91</v>
      </c>
      <c r="E385" s="1">
        <v>0</v>
      </c>
      <c r="F385" s="1">
        <v>91</v>
      </c>
      <c r="G385" s="1">
        <v>7.0000000000000007E-2</v>
      </c>
      <c r="H385" s="1">
        <v>36</v>
      </c>
    </row>
    <row r="386" spans="1:8" x14ac:dyDescent="0.5">
      <c r="A386" s="1">
        <v>7</v>
      </c>
      <c r="B386" s="1" t="s">
        <v>398</v>
      </c>
      <c r="C386" s="1" t="s">
        <v>415</v>
      </c>
      <c r="D386" s="1">
        <v>153</v>
      </c>
      <c r="E386" s="1">
        <v>0</v>
      </c>
      <c r="F386" s="1">
        <v>153</v>
      </c>
      <c r="G386" s="1">
        <v>0.12</v>
      </c>
      <c r="H386" s="1">
        <v>36</v>
      </c>
    </row>
    <row r="387" spans="1:8" x14ac:dyDescent="0.5">
      <c r="A387" s="1">
        <v>8</v>
      </c>
      <c r="B387" s="1" t="s">
        <v>416</v>
      </c>
      <c r="C387" s="1" t="s">
        <v>417</v>
      </c>
      <c r="D387" s="1">
        <v>48</v>
      </c>
      <c r="E387" s="1">
        <v>0</v>
      </c>
      <c r="F387" s="1">
        <v>48</v>
      </c>
      <c r="G387" s="1">
        <v>0.04</v>
      </c>
      <c r="H387" s="1">
        <v>36</v>
      </c>
    </row>
    <row r="388" spans="1:8" x14ac:dyDescent="0.5">
      <c r="A388" s="1">
        <v>9</v>
      </c>
      <c r="B388" s="1" t="s">
        <v>418</v>
      </c>
      <c r="C388" s="1" t="s">
        <v>18</v>
      </c>
      <c r="D388" s="1">
        <v>113</v>
      </c>
      <c r="E388" s="1">
        <v>0</v>
      </c>
      <c r="F388" s="1">
        <v>113</v>
      </c>
      <c r="G388" s="1">
        <v>0.09</v>
      </c>
      <c r="H388" s="1">
        <v>36</v>
      </c>
    </row>
    <row r="389" spans="1:8" x14ac:dyDescent="0.5">
      <c r="A389" s="1">
        <v>10</v>
      </c>
      <c r="B389" s="1" t="s">
        <v>419</v>
      </c>
      <c r="C389" s="1" t="s">
        <v>18</v>
      </c>
      <c r="D389" s="1">
        <v>192</v>
      </c>
      <c r="E389" s="1">
        <v>1</v>
      </c>
      <c r="F389" s="1">
        <v>193</v>
      </c>
      <c r="G389" s="1">
        <v>0.15</v>
      </c>
      <c r="H389" s="1">
        <v>36</v>
      </c>
    </row>
    <row r="390" spans="1:8" x14ac:dyDescent="0.5">
      <c r="A390" s="1">
        <v>11</v>
      </c>
      <c r="B390" s="1" t="s">
        <v>420</v>
      </c>
      <c r="C390" s="1" t="s">
        <v>18</v>
      </c>
      <c r="D390" s="1">
        <v>225</v>
      </c>
      <c r="E390" s="1">
        <v>0</v>
      </c>
      <c r="F390" s="1">
        <v>225</v>
      </c>
      <c r="G390" s="1">
        <v>0.17</v>
      </c>
      <c r="H390" s="1">
        <v>36</v>
      </c>
    </row>
    <row r="391" spans="1:8" x14ac:dyDescent="0.5">
      <c r="A391" s="1">
        <v>12</v>
      </c>
      <c r="B391" s="1" t="s">
        <v>421</v>
      </c>
      <c r="C391" s="1" t="s">
        <v>18</v>
      </c>
      <c r="D391" s="1">
        <v>91</v>
      </c>
      <c r="E391" s="1">
        <v>1</v>
      </c>
      <c r="F391" s="1">
        <v>92</v>
      </c>
      <c r="G391" s="1">
        <v>7.0000000000000007E-2</v>
      </c>
      <c r="H391" s="1">
        <v>36</v>
      </c>
    </row>
    <row r="392" spans="1:8" x14ac:dyDescent="0.5">
      <c r="A392" s="1">
        <v>13</v>
      </c>
      <c r="B392" s="1" t="s">
        <v>20</v>
      </c>
      <c r="C392" s="1" t="s">
        <v>21</v>
      </c>
      <c r="D392" s="1">
        <v>755</v>
      </c>
      <c r="E392" s="1">
        <v>1</v>
      </c>
      <c r="F392" s="1">
        <v>756</v>
      </c>
      <c r="G392" s="1">
        <v>0.57999999999999996</v>
      </c>
      <c r="H392" s="1">
        <v>36</v>
      </c>
    </row>
    <row r="393" spans="1:8" x14ac:dyDescent="0.5">
      <c r="A393" s="16">
        <v>1</v>
      </c>
      <c r="B393" s="16" t="s">
        <v>422</v>
      </c>
      <c r="C393" s="16" t="s">
        <v>782</v>
      </c>
      <c r="D393" s="16">
        <v>81589</v>
      </c>
      <c r="E393" s="16">
        <v>457</v>
      </c>
      <c r="F393" s="16">
        <v>82046</v>
      </c>
      <c r="G393" s="16">
        <v>50.45</v>
      </c>
      <c r="H393" s="16">
        <v>37</v>
      </c>
    </row>
    <row r="394" spans="1:8" x14ac:dyDescent="0.5">
      <c r="A394" s="1">
        <v>2</v>
      </c>
      <c r="B394" s="1" t="s">
        <v>423</v>
      </c>
      <c r="C394" s="1" t="s">
        <v>23</v>
      </c>
      <c r="D394" s="1">
        <v>805</v>
      </c>
      <c r="E394" s="1">
        <v>5</v>
      </c>
      <c r="F394" s="1">
        <v>810</v>
      </c>
      <c r="G394" s="1">
        <v>0.5</v>
      </c>
      <c r="H394" s="1">
        <v>37</v>
      </c>
    </row>
    <row r="395" spans="1:8" x14ac:dyDescent="0.5">
      <c r="A395" s="1">
        <v>3</v>
      </c>
      <c r="B395" s="1" t="s">
        <v>424</v>
      </c>
      <c r="C395" s="1" t="s">
        <v>12</v>
      </c>
      <c r="D395" s="1">
        <v>72844</v>
      </c>
      <c r="E395" s="1">
        <v>250</v>
      </c>
      <c r="F395" s="1">
        <v>73094</v>
      </c>
      <c r="G395" s="1">
        <v>44.95</v>
      </c>
      <c r="H395" s="1">
        <v>37</v>
      </c>
    </row>
    <row r="396" spans="1:8" x14ac:dyDescent="0.5">
      <c r="A396" s="1">
        <v>4</v>
      </c>
      <c r="B396" s="1" t="s">
        <v>425</v>
      </c>
      <c r="C396" s="1" t="s">
        <v>9</v>
      </c>
      <c r="D396" s="1">
        <v>4655</v>
      </c>
      <c r="E396" s="1">
        <v>42</v>
      </c>
      <c r="F396" s="1">
        <v>4697</v>
      </c>
      <c r="G396" s="1">
        <v>2.89</v>
      </c>
      <c r="H396" s="1">
        <v>37</v>
      </c>
    </row>
    <row r="397" spans="1:8" x14ac:dyDescent="0.5">
      <c r="A397" s="1">
        <v>5</v>
      </c>
      <c r="B397" s="1" t="s">
        <v>426</v>
      </c>
      <c r="C397" s="1" t="s">
        <v>79</v>
      </c>
      <c r="D397" s="1">
        <v>325</v>
      </c>
      <c r="E397" s="1">
        <v>1</v>
      </c>
      <c r="F397" s="1">
        <v>326</v>
      </c>
      <c r="G397" s="1">
        <v>0.2</v>
      </c>
      <c r="H397" s="1">
        <v>37</v>
      </c>
    </row>
    <row r="398" spans="1:8" x14ac:dyDescent="0.5">
      <c r="A398" s="1">
        <v>6</v>
      </c>
      <c r="B398" s="1" t="s">
        <v>427</v>
      </c>
      <c r="C398" s="1" t="s">
        <v>60</v>
      </c>
      <c r="D398" s="1">
        <v>220</v>
      </c>
      <c r="E398" s="1">
        <v>1</v>
      </c>
      <c r="F398" s="1">
        <v>221</v>
      </c>
      <c r="G398" s="1">
        <v>0.14000000000000001</v>
      </c>
      <c r="H398" s="1">
        <v>37</v>
      </c>
    </row>
    <row r="399" spans="1:8" x14ac:dyDescent="0.5">
      <c r="A399" s="1">
        <v>7</v>
      </c>
      <c r="B399" s="1" t="s">
        <v>428</v>
      </c>
      <c r="C399" s="1" t="s">
        <v>18</v>
      </c>
      <c r="D399" s="1">
        <v>301</v>
      </c>
      <c r="E399" s="1">
        <v>1</v>
      </c>
      <c r="F399" s="1">
        <v>302</v>
      </c>
      <c r="G399" s="1">
        <v>0.19</v>
      </c>
      <c r="H399" s="1">
        <v>37</v>
      </c>
    </row>
    <row r="400" spans="1:8" x14ac:dyDescent="0.5">
      <c r="A400" s="1">
        <v>8</v>
      </c>
      <c r="B400" s="1" t="s">
        <v>20</v>
      </c>
      <c r="C400" s="1" t="s">
        <v>21</v>
      </c>
      <c r="D400" s="1">
        <v>1109</v>
      </c>
      <c r="E400" s="1">
        <v>10</v>
      </c>
      <c r="F400" s="1">
        <v>1119</v>
      </c>
      <c r="G400" s="1">
        <v>0.69</v>
      </c>
      <c r="H400" s="1">
        <v>37</v>
      </c>
    </row>
    <row r="401" spans="1:8" x14ac:dyDescent="0.5">
      <c r="A401" s="1">
        <v>1</v>
      </c>
      <c r="B401" s="1" t="s">
        <v>429</v>
      </c>
      <c r="C401" s="1" t="s">
        <v>23</v>
      </c>
      <c r="D401" s="1">
        <v>232</v>
      </c>
      <c r="E401" s="1">
        <v>0</v>
      </c>
      <c r="F401" s="1">
        <v>232</v>
      </c>
      <c r="G401" s="1">
        <v>0.49</v>
      </c>
      <c r="H401" s="1">
        <v>38</v>
      </c>
    </row>
    <row r="402" spans="1:8" x14ac:dyDescent="0.5">
      <c r="A402" s="1">
        <v>2</v>
      </c>
      <c r="B402" s="1" t="s">
        <v>430</v>
      </c>
      <c r="C402" s="1" t="s">
        <v>9</v>
      </c>
      <c r="D402" s="1">
        <v>4230</v>
      </c>
      <c r="E402" s="1">
        <v>22</v>
      </c>
      <c r="F402" s="1">
        <v>4252</v>
      </c>
      <c r="G402" s="1">
        <v>8.9600000000000009</v>
      </c>
      <c r="H402" s="1">
        <v>38</v>
      </c>
    </row>
    <row r="403" spans="1:8" x14ac:dyDescent="0.5">
      <c r="A403" s="2">
        <v>3</v>
      </c>
      <c r="B403" s="2" t="s">
        <v>431</v>
      </c>
      <c r="C403" s="2" t="s">
        <v>782</v>
      </c>
      <c r="D403" s="2">
        <v>20073</v>
      </c>
      <c r="E403" s="2">
        <v>89</v>
      </c>
      <c r="F403" s="2">
        <v>20162</v>
      </c>
      <c r="G403" s="2">
        <v>42.48</v>
      </c>
      <c r="H403" s="2">
        <v>38</v>
      </c>
    </row>
    <row r="404" spans="1:8" x14ac:dyDescent="0.5">
      <c r="A404" s="18">
        <v>4</v>
      </c>
      <c r="B404" s="18" t="s">
        <v>432</v>
      </c>
      <c r="C404" s="18" t="s">
        <v>12</v>
      </c>
      <c r="D404" s="18">
        <v>22140</v>
      </c>
      <c r="E404" s="18">
        <v>51</v>
      </c>
      <c r="F404" s="18">
        <v>22191</v>
      </c>
      <c r="G404" s="18">
        <v>46.76</v>
      </c>
      <c r="H404" s="18">
        <v>38</v>
      </c>
    </row>
    <row r="405" spans="1:8" x14ac:dyDescent="0.5">
      <c r="A405" s="1">
        <v>5</v>
      </c>
      <c r="B405" s="1" t="s">
        <v>433</v>
      </c>
      <c r="C405" s="1" t="s">
        <v>89</v>
      </c>
      <c r="D405" s="1">
        <v>70</v>
      </c>
      <c r="E405" s="1">
        <v>0</v>
      </c>
      <c r="F405" s="1">
        <v>70</v>
      </c>
      <c r="G405" s="1">
        <v>0.15</v>
      </c>
      <c r="H405" s="1">
        <v>38</v>
      </c>
    </row>
    <row r="406" spans="1:8" x14ac:dyDescent="0.5">
      <c r="A406" s="1">
        <v>6</v>
      </c>
      <c r="B406" s="1" t="s">
        <v>114</v>
      </c>
      <c r="C406" s="1" t="s">
        <v>60</v>
      </c>
      <c r="D406" s="1">
        <v>72</v>
      </c>
      <c r="E406" s="1">
        <v>0</v>
      </c>
      <c r="F406" s="1">
        <v>72</v>
      </c>
      <c r="G406" s="1">
        <v>0.15</v>
      </c>
      <c r="H406" s="1">
        <v>38</v>
      </c>
    </row>
    <row r="407" spans="1:8" x14ac:dyDescent="0.5">
      <c r="A407" s="1">
        <v>7</v>
      </c>
      <c r="B407" s="1" t="s">
        <v>434</v>
      </c>
      <c r="C407" s="1" t="s">
        <v>18</v>
      </c>
      <c r="D407" s="1">
        <v>149</v>
      </c>
      <c r="E407" s="1">
        <v>0</v>
      </c>
      <c r="F407" s="1">
        <v>149</v>
      </c>
      <c r="G407" s="1">
        <v>0.31</v>
      </c>
      <c r="H407" s="1">
        <v>38</v>
      </c>
    </row>
    <row r="408" spans="1:8" x14ac:dyDescent="0.5">
      <c r="A408" s="1">
        <v>8</v>
      </c>
      <c r="B408" s="1" t="s">
        <v>20</v>
      </c>
      <c r="C408" s="1" t="s">
        <v>21</v>
      </c>
      <c r="D408" s="1">
        <v>327</v>
      </c>
      <c r="E408" s="1">
        <v>3</v>
      </c>
      <c r="F408" s="1">
        <v>330</v>
      </c>
      <c r="G408" s="1">
        <v>0.7</v>
      </c>
      <c r="H408" s="1">
        <v>38</v>
      </c>
    </row>
    <row r="409" spans="1:8" x14ac:dyDescent="0.5">
      <c r="A409" s="16">
        <v>1</v>
      </c>
      <c r="B409" s="16" t="s">
        <v>435</v>
      </c>
      <c r="C409" s="16" t="s">
        <v>782</v>
      </c>
      <c r="D409" s="16">
        <v>46391</v>
      </c>
      <c r="E409" s="16">
        <v>280</v>
      </c>
      <c r="F409" s="16">
        <v>46671</v>
      </c>
      <c r="G409" s="16">
        <v>48.01</v>
      </c>
      <c r="H409" s="16">
        <v>39</v>
      </c>
    </row>
    <row r="410" spans="1:8" x14ac:dyDescent="0.5">
      <c r="A410" s="1">
        <v>2</v>
      </c>
      <c r="B410" s="1" t="s">
        <v>436</v>
      </c>
      <c r="C410" s="1" t="s">
        <v>12</v>
      </c>
      <c r="D410" s="1">
        <v>45290</v>
      </c>
      <c r="E410" s="1">
        <v>150</v>
      </c>
      <c r="F410" s="1">
        <v>45440</v>
      </c>
      <c r="G410" s="1">
        <v>46.74</v>
      </c>
      <c r="H410" s="1">
        <v>39</v>
      </c>
    </row>
    <row r="411" spans="1:8" x14ac:dyDescent="0.5">
      <c r="A411" s="1">
        <v>3</v>
      </c>
      <c r="B411" s="1" t="s">
        <v>437</v>
      </c>
      <c r="C411" s="1" t="s">
        <v>9</v>
      </c>
      <c r="D411" s="1">
        <v>3995</v>
      </c>
      <c r="E411" s="1">
        <v>20</v>
      </c>
      <c r="F411" s="1">
        <v>4015</v>
      </c>
      <c r="G411" s="1">
        <v>4.13</v>
      </c>
      <c r="H411" s="1">
        <v>39</v>
      </c>
    </row>
    <row r="412" spans="1:8" x14ac:dyDescent="0.5">
      <c r="A412" s="1">
        <v>4</v>
      </c>
      <c r="B412" s="1" t="s">
        <v>438</v>
      </c>
      <c r="C412" s="1" t="s">
        <v>23</v>
      </c>
      <c r="D412" s="1">
        <v>147</v>
      </c>
      <c r="E412" s="1">
        <v>3</v>
      </c>
      <c r="F412" s="1">
        <v>150</v>
      </c>
      <c r="G412" s="1">
        <v>0.15</v>
      </c>
      <c r="H412" s="1">
        <v>39</v>
      </c>
    </row>
    <row r="413" spans="1:8" x14ac:dyDescent="0.5">
      <c r="A413" s="1">
        <v>5</v>
      </c>
      <c r="B413" s="1" t="s">
        <v>439</v>
      </c>
      <c r="C413" s="1" t="s">
        <v>55</v>
      </c>
      <c r="D413" s="1">
        <v>65</v>
      </c>
      <c r="E413" s="1">
        <v>0</v>
      </c>
      <c r="F413" s="1">
        <v>65</v>
      </c>
      <c r="G413" s="1">
        <v>7.0000000000000007E-2</v>
      </c>
      <c r="H413" s="1">
        <v>39</v>
      </c>
    </row>
    <row r="414" spans="1:8" x14ac:dyDescent="0.5">
      <c r="A414" s="1">
        <v>6</v>
      </c>
      <c r="B414" s="1" t="s">
        <v>440</v>
      </c>
      <c r="C414" s="1" t="s">
        <v>16</v>
      </c>
      <c r="D414" s="1">
        <v>155</v>
      </c>
      <c r="E414" s="1">
        <v>0</v>
      </c>
      <c r="F414" s="1">
        <v>155</v>
      </c>
      <c r="G414" s="1">
        <v>0.16</v>
      </c>
      <c r="H414" s="1">
        <v>39</v>
      </c>
    </row>
    <row r="415" spans="1:8" x14ac:dyDescent="0.5">
      <c r="A415" s="1">
        <v>7</v>
      </c>
      <c r="B415" s="1" t="s">
        <v>441</v>
      </c>
      <c r="C415" s="1" t="s">
        <v>18</v>
      </c>
      <c r="D415" s="1">
        <v>143</v>
      </c>
      <c r="E415" s="1">
        <v>1</v>
      </c>
      <c r="F415" s="1">
        <v>144</v>
      </c>
      <c r="G415" s="1">
        <v>0.15</v>
      </c>
      <c r="H415" s="1">
        <v>39</v>
      </c>
    </row>
    <row r="416" spans="1:8" x14ac:dyDescent="0.5">
      <c r="A416" s="1">
        <v>8</v>
      </c>
      <c r="B416" s="1" t="s">
        <v>20</v>
      </c>
      <c r="C416" s="1" t="s">
        <v>21</v>
      </c>
      <c r="D416" s="1">
        <v>565</v>
      </c>
      <c r="E416" s="1">
        <v>6</v>
      </c>
      <c r="F416" s="1">
        <v>571</v>
      </c>
      <c r="G416" s="1">
        <v>0.59</v>
      </c>
      <c r="H416" s="1">
        <v>39</v>
      </c>
    </row>
    <row r="417" spans="1:8" x14ac:dyDescent="0.5">
      <c r="A417" s="1">
        <v>1</v>
      </c>
      <c r="B417" s="1" t="s">
        <v>442</v>
      </c>
      <c r="C417" s="1" t="s">
        <v>12</v>
      </c>
      <c r="D417" s="1">
        <v>25865</v>
      </c>
      <c r="E417" s="1">
        <v>134</v>
      </c>
      <c r="F417" s="1">
        <v>25999</v>
      </c>
      <c r="G417" s="1">
        <v>42.18</v>
      </c>
      <c r="H417" s="1">
        <v>40</v>
      </c>
    </row>
    <row r="418" spans="1:8" x14ac:dyDescent="0.5">
      <c r="A418" s="16">
        <v>2</v>
      </c>
      <c r="B418" s="16" t="s">
        <v>443</v>
      </c>
      <c r="C418" s="16" t="s">
        <v>782</v>
      </c>
      <c r="D418" s="16">
        <v>29878</v>
      </c>
      <c r="E418" s="16">
        <v>210</v>
      </c>
      <c r="F418" s="16">
        <v>30088</v>
      </c>
      <c r="G418" s="16">
        <v>48.82</v>
      </c>
      <c r="H418" s="16">
        <v>40</v>
      </c>
    </row>
    <row r="419" spans="1:8" x14ac:dyDescent="0.5">
      <c r="A419" s="1">
        <v>3</v>
      </c>
      <c r="B419" s="1" t="s">
        <v>444</v>
      </c>
      <c r="C419" s="1" t="s">
        <v>23</v>
      </c>
      <c r="D419" s="1">
        <v>142</v>
      </c>
      <c r="E419" s="1">
        <v>0</v>
      </c>
      <c r="F419" s="1">
        <v>142</v>
      </c>
      <c r="G419" s="1">
        <v>0.23</v>
      </c>
      <c r="H419" s="1">
        <v>40</v>
      </c>
    </row>
    <row r="420" spans="1:8" x14ac:dyDescent="0.5">
      <c r="A420" s="1">
        <v>4</v>
      </c>
      <c r="B420" s="1" t="s">
        <v>445</v>
      </c>
      <c r="C420" s="1" t="s">
        <v>9</v>
      </c>
      <c r="D420" s="1">
        <v>4531</v>
      </c>
      <c r="E420" s="1">
        <v>37</v>
      </c>
      <c r="F420" s="1">
        <v>4568</v>
      </c>
      <c r="G420" s="1">
        <v>7.41</v>
      </c>
      <c r="H420" s="1">
        <v>40</v>
      </c>
    </row>
    <row r="421" spans="1:8" x14ac:dyDescent="0.5">
      <c r="A421" s="1">
        <v>5</v>
      </c>
      <c r="B421" s="1" t="s">
        <v>446</v>
      </c>
      <c r="C421" s="1" t="s">
        <v>447</v>
      </c>
      <c r="D421" s="1">
        <v>21</v>
      </c>
      <c r="E421" s="1">
        <v>0</v>
      </c>
      <c r="F421" s="1">
        <v>21</v>
      </c>
      <c r="G421" s="1">
        <v>0.03</v>
      </c>
      <c r="H421" s="1">
        <v>40</v>
      </c>
    </row>
    <row r="422" spans="1:8" x14ac:dyDescent="0.5">
      <c r="A422" s="1">
        <v>6</v>
      </c>
      <c r="B422" s="1" t="s">
        <v>448</v>
      </c>
      <c r="C422" s="1" t="s">
        <v>449</v>
      </c>
      <c r="D422" s="1">
        <v>4</v>
      </c>
      <c r="E422" s="1">
        <v>0</v>
      </c>
      <c r="F422" s="1">
        <v>4</v>
      </c>
      <c r="G422" s="1">
        <v>0.01</v>
      </c>
      <c r="H422" s="1">
        <v>40</v>
      </c>
    </row>
    <row r="423" spans="1:8" x14ac:dyDescent="0.5">
      <c r="A423" s="1">
        <v>7</v>
      </c>
      <c r="B423" s="1" t="s">
        <v>450</v>
      </c>
      <c r="C423" s="1" t="s">
        <v>451</v>
      </c>
      <c r="D423" s="1">
        <v>22</v>
      </c>
      <c r="E423" s="1">
        <v>0</v>
      </c>
      <c r="F423" s="1">
        <v>22</v>
      </c>
      <c r="G423" s="1">
        <v>0.04</v>
      </c>
      <c r="H423" s="1">
        <v>40</v>
      </c>
    </row>
    <row r="424" spans="1:8" x14ac:dyDescent="0.5">
      <c r="A424" s="1">
        <v>8</v>
      </c>
      <c r="B424" s="1" t="s">
        <v>452</v>
      </c>
      <c r="C424" s="1" t="s">
        <v>453</v>
      </c>
      <c r="D424" s="1">
        <v>39</v>
      </c>
      <c r="E424" s="1">
        <v>0</v>
      </c>
      <c r="F424" s="1">
        <v>39</v>
      </c>
      <c r="G424" s="1">
        <v>0.06</v>
      </c>
      <c r="H424" s="1">
        <v>40</v>
      </c>
    </row>
    <row r="425" spans="1:8" x14ac:dyDescent="0.5">
      <c r="A425" s="1">
        <v>9</v>
      </c>
      <c r="B425" s="1" t="s">
        <v>454</v>
      </c>
      <c r="C425" s="1" t="s">
        <v>47</v>
      </c>
      <c r="D425" s="1">
        <v>37</v>
      </c>
      <c r="E425" s="1">
        <v>0</v>
      </c>
      <c r="F425" s="1">
        <v>37</v>
      </c>
      <c r="G425" s="1">
        <v>0.06</v>
      </c>
      <c r="H425" s="1">
        <v>40</v>
      </c>
    </row>
    <row r="426" spans="1:8" x14ac:dyDescent="0.5">
      <c r="A426" s="1">
        <v>10</v>
      </c>
      <c r="B426" s="1" t="s">
        <v>455</v>
      </c>
      <c r="C426" s="1" t="s">
        <v>143</v>
      </c>
      <c r="D426" s="1">
        <v>8</v>
      </c>
      <c r="E426" s="1">
        <v>0</v>
      </c>
      <c r="F426" s="1">
        <v>8</v>
      </c>
      <c r="G426" s="1">
        <v>0.01</v>
      </c>
      <c r="H426" s="1">
        <v>40</v>
      </c>
    </row>
    <row r="427" spans="1:8" x14ac:dyDescent="0.5">
      <c r="A427" s="1">
        <v>11</v>
      </c>
      <c r="B427" s="1" t="s">
        <v>215</v>
      </c>
      <c r="C427" s="1" t="s">
        <v>72</v>
      </c>
      <c r="D427" s="1">
        <v>8</v>
      </c>
      <c r="E427" s="1">
        <v>0</v>
      </c>
      <c r="F427" s="1">
        <v>8</v>
      </c>
      <c r="G427" s="1">
        <v>0.01</v>
      </c>
      <c r="H427" s="1">
        <v>40</v>
      </c>
    </row>
    <row r="428" spans="1:8" x14ac:dyDescent="0.5">
      <c r="A428" s="1">
        <v>12</v>
      </c>
      <c r="B428" s="1" t="s">
        <v>456</v>
      </c>
      <c r="C428" s="1" t="s">
        <v>236</v>
      </c>
      <c r="D428" s="1">
        <v>75</v>
      </c>
      <c r="E428" s="1">
        <v>1</v>
      </c>
      <c r="F428" s="1">
        <v>76</v>
      </c>
      <c r="G428" s="1">
        <v>0.12</v>
      </c>
      <c r="H428" s="1">
        <v>40</v>
      </c>
    </row>
    <row r="429" spans="1:8" x14ac:dyDescent="0.5">
      <c r="A429" s="1">
        <v>13</v>
      </c>
      <c r="B429" s="1" t="s">
        <v>457</v>
      </c>
      <c r="C429" s="1" t="s">
        <v>458</v>
      </c>
      <c r="D429" s="1">
        <v>14</v>
      </c>
      <c r="E429" s="1">
        <v>1</v>
      </c>
      <c r="F429" s="1">
        <v>15</v>
      </c>
      <c r="G429" s="1">
        <v>0.02</v>
      </c>
      <c r="H429" s="1">
        <v>40</v>
      </c>
    </row>
    <row r="430" spans="1:8" x14ac:dyDescent="0.5">
      <c r="A430" s="1">
        <v>14</v>
      </c>
      <c r="B430" s="1" t="s">
        <v>459</v>
      </c>
      <c r="C430" s="1" t="s">
        <v>31</v>
      </c>
      <c r="D430" s="1">
        <v>8</v>
      </c>
      <c r="E430" s="1">
        <v>0</v>
      </c>
      <c r="F430" s="1">
        <v>8</v>
      </c>
      <c r="G430" s="1">
        <v>0.01</v>
      </c>
      <c r="H430" s="1">
        <v>40</v>
      </c>
    </row>
    <row r="431" spans="1:8" x14ac:dyDescent="0.5">
      <c r="A431" s="1">
        <v>15</v>
      </c>
      <c r="B431" s="1" t="s">
        <v>460</v>
      </c>
      <c r="C431" s="1" t="s">
        <v>33</v>
      </c>
      <c r="D431" s="1">
        <v>30</v>
      </c>
      <c r="E431" s="1">
        <v>0</v>
      </c>
      <c r="F431" s="1">
        <v>30</v>
      </c>
      <c r="G431" s="1">
        <v>0.05</v>
      </c>
      <c r="H431" s="1">
        <v>40</v>
      </c>
    </row>
    <row r="432" spans="1:8" x14ac:dyDescent="0.5">
      <c r="A432" s="1">
        <v>16</v>
      </c>
      <c r="B432" s="1" t="s">
        <v>461</v>
      </c>
      <c r="C432" s="1" t="s">
        <v>238</v>
      </c>
      <c r="D432" s="1">
        <v>53</v>
      </c>
      <c r="E432" s="1">
        <v>0</v>
      </c>
      <c r="F432" s="1">
        <v>53</v>
      </c>
      <c r="G432" s="1">
        <v>0.09</v>
      </c>
      <c r="H432" s="1">
        <v>40</v>
      </c>
    </row>
    <row r="433" spans="1:8" x14ac:dyDescent="0.5">
      <c r="A433" s="1">
        <v>17</v>
      </c>
      <c r="B433" s="1" t="s">
        <v>462</v>
      </c>
      <c r="C433" s="1" t="s">
        <v>18</v>
      </c>
      <c r="D433" s="1">
        <v>55</v>
      </c>
      <c r="E433" s="1">
        <v>0</v>
      </c>
      <c r="F433" s="1">
        <v>55</v>
      </c>
      <c r="G433" s="1">
        <v>0.09</v>
      </c>
      <c r="H433" s="1">
        <v>40</v>
      </c>
    </row>
    <row r="434" spans="1:8" x14ac:dyDescent="0.5">
      <c r="A434" s="1">
        <v>18</v>
      </c>
      <c r="B434" s="1" t="s">
        <v>463</v>
      </c>
      <c r="C434" s="1" t="s">
        <v>18</v>
      </c>
      <c r="D434" s="1">
        <v>72</v>
      </c>
      <c r="E434" s="1">
        <v>0</v>
      </c>
      <c r="F434" s="1">
        <v>72</v>
      </c>
      <c r="G434" s="1">
        <v>0.12</v>
      </c>
      <c r="H434" s="1">
        <v>40</v>
      </c>
    </row>
    <row r="435" spans="1:8" x14ac:dyDescent="0.5">
      <c r="A435" s="1">
        <v>19</v>
      </c>
      <c r="B435" s="1" t="s">
        <v>464</v>
      </c>
      <c r="C435" s="1" t="s">
        <v>18</v>
      </c>
      <c r="D435" s="1">
        <v>31</v>
      </c>
      <c r="E435" s="1">
        <v>0</v>
      </c>
      <c r="F435" s="1">
        <v>31</v>
      </c>
      <c r="G435" s="1">
        <v>0.05</v>
      </c>
      <c r="H435" s="1">
        <v>40</v>
      </c>
    </row>
    <row r="436" spans="1:8" x14ac:dyDescent="0.5">
      <c r="A436" s="1">
        <v>20</v>
      </c>
      <c r="B436" s="1" t="s">
        <v>465</v>
      </c>
      <c r="C436" s="1" t="s">
        <v>18</v>
      </c>
      <c r="D436" s="1">
        <v>9</v>
      </c>
      <c r="E436" s="1">
        <v>0</v>
      </c>
      <c r="F436" s="1">
        <v>9</v>
      </c>
      <c r="G436" s="1">
        <v>0.01</v>
      </c>
      <c r="H436" s="1">
        <v>40</v>
      </c>
    </row>
    <row r="437" spans="1:8" x14ac:dyDescent="0.5">
      <c r="A437" s="1">
        <v>21</v>
      </c>
      <c r="B437" s="1" t="s">
        <v>466</v>
      </c>
      <c r="C437" s="1" t="s">
        <v>18</v>
      </c>
      <c r="D437" s="1">
        <v>11</v>
      </c>
      <c r="E437" s="1">
        <v>0</v>
      </c>
      <c r="F437" s="1">
        <v>11</v>
      </c>
      <c r="G437" s="1">
        <v>0.02</v>
      </c>
      <c r="H437" s="1">
        <v>40</v>
      </c>
    </row>
    <row r="438" spans="1:8" x14ac:dyDescent="0.5">
      <c r="A438" s="1">
        <v>22</v>
      </c>
      <c r="B438" s="1" t="s">
        <v>467</v>
      </c>
      <c r="C438" s="1" t="s">
        <v>18</v>
      </c>
      <c r="D438" s="1">
        <v>16</v>
      </c>
      <c r="E438" s="1">
        <v>1</v>
      </c>
      <c r="F438" s="1">
        <v>17</v>
      </c>
      <c r="G438" s="1">
        <v>0.03</v>
      </c>
      <c r="H438" s="1">
        <v>40</v>
      </c>
    </row>
    <row r="439" spans="1:8" x14ac:dyDescent="0.5">
      <c r="A439" s="1">
        <v>23</v>
      </c>
      <c r="B439" s="1" t="s">
        <v>468</v>
      </c>
      <c r="C439" s="1" t="s">
        <v>18</v>
      </c>
      <c r="D439" s="1">
        <v>9</v>
      </c>
      <c r="E439" s="1">
        <v>0</v>
      </c>
      <c r="F439" s="1">
        <v>9</v>
      </c>
      <c r="G439" s="1">
        <v>0.01</v>
      </c>
      <c r="H439" s="1">
        <v>40</v>
      </c>
    </row>
    <row r="440" spans="1:8" x14ac:dyDescent="0.5">
      <c r="A440" s="1">
        <v>24</v>
      </c>
      <c r="B440" s="1" t="s">
        <v>20</v>
      </c>
      <c r="C440" s="1" t="s">
        <v>21</v>
      </c>
      <c r="D440" s="1">
        <v>306</v>
      </c>
      <c r="E440" s="1">
        <v>8</v>
      </c>
      <c r="F440" s="1">
        <v>314</v>
      </c>
      <c r="G440" s="1">
        <v>0.51</v>
      </c>
      <c r="H440" s="1">
        <v>40</v>
      </c>
    </row>
    <row r="441" spans="1:8" x14ac:dyDescent="0.5">
      <c r="A441" s="16">
        <v>1</v>
      </c>
      <c r="B441" s="16" t="s">
        <v>469</v>
      </c>
      <c r="C441" s="16" t="s">
        <v>782</v>
      </c>
      <c r="D441" s="16">
        <v>38675</v>
      </c>
      <c r="E441" s="16">
        <v>184</v>
      </c>
      <c r="F441" s="16">
        <v>38859</v>
      </c>
      <c r="G441" s="16">
        <v>45.44</v>
      </c>
      <c r="H441" s="16">
        <v>41</v>
      </c>
    </row>
    <row r="442" spans="1:8" x14ac:dyDescent="0.5">
      <c r="A442" s="1">
        <v>2</v>
      </c>
      <c r="B442" s="1" t="s">
        <v>470</v>
      </c>
      <c r="C442" s="1" t="s">
        <v>9</v>
      </c>
      <c r="D442" s="1">
        <v>7324</v>
      </c>
      <c r="E442" s="1">
        <v>26</v>
      </c>
      <c r="F442" s="1">
        <v>7350</v>
      </c>
      <c r="G442" s="1">
        <v>8.6</v>
      </c>
      <c r="H442" s="1">
        <v>41</v>
      </c>
    </row>
    <row r="443" spans="1:8" x14ac:dyDescent="0.5">
      <c r="A443" s="1">
        <v>3</v>
      </c>
      <c r="B443" s="1" t="s">
        <v>471</v>
      </c>
      <c r="C443" s="1" t="s">
        <v>12</v>
      </c>
      <c r="D443" s="1">
        <v>38081</v>
      </c>
      <c r="E443" s="1">
        <v>103</v>
      </c>
      <c r="F443" s="1">
        <v>38184</v>
      </c>
      <c r="G443" s="1">
        <v>44.65</v>
      </c>
      <c r="H443" s="1">
        <v>41</v>
      </c>
    </row>
    <row r="444" spans="1:8" x14ac:dyDescent="0.5">
      <c r="A444" s="1">
        <v>4</v>
      </c>
      <c r="B444" s="1" t="s">
        <v>472</v>
      </c>
      <c r="C444" s="1" t="s">
        <v>23</v>
      </c>
      <c r="D444" s="1">
        <v>154</v>
      </c>
      <c r="E444" s="1">
        <v>1</v>
      </c>
      <c r="F444" s="1">
        <v>155</v>
      </c>
      <c r="G444" s="1">
        <v>0.18</v>
      </c>
      <c r="H444" s="1">
        <v>41</v>
      </c>
    </row>
    <row r="445" spans="1:8" x14ac:dyDescent="0.5">
      <c r="A445" s="1">
        <v>5</v>
      </c>
      <c r="B445" s="1" t="s">
        <v>473</v>
      </c>
      <c r="C445" s="1" t="s">
        <v>474</v>
      </c>
      <c r="D445" s="1">
        <v>74</v>
      </c>
      <c r="E445" s="1">
        <v>0</v>
      </c>
      <c r="F445" s="1">
        <v>74</v>
      </c>
      <c r="G445" s="1">
        <v>0.09</v>
      </c>
      <c r="H445" s="1">
        <v>41</v>
      </c>
    </row>
    <row r="446" spans="1:8" x14ac:dyDescent="0.5">
      <c r="A446" s="1">
        <v>6</v>
      </c>
      <c r="B446" s="1" t="s">
        <v>475</v>
      </c>
      <c r="C446" s="1" t="s">
        <v>458</v>
      </c>
      <c r="D446" s="1">
        <v>119</v>
      </c>
      <c r="E446" s="1">
        <v>0</v>
      </c>
      <c r="F446" s="1">
        <v>119</v>
      </c>
      <c r="G446" s="1">
        <v>0.14000000000000001</v>
      </c>
      <c r="H446" s="1">
        <v>41</v>
      </c>
    </row>
    <row r="447" spans="1:8" x14ac:dyDescent="0.5">
      <c r="A447" s="1">
        <v>7</v>
      </c>
      <c r="B447" s="1" t="s">
        <v>476</v>
      </c>
      <c r="C447" s="1" t="s">
        <v>477</v>
      </c>
      <c r="D447" s="1">
        <v>78</v>
      </c>
      <c r="E447" s="1">
        <v>0</v>
      </c>
      <c r="F447" s="1">
        <v>78</v>
      </c>
      <c r="G447" s="1">
        <v>0.09</v>
      </c>
      <c r="H447" s="1">
        <v>41</v>
      </c>
    </row>
    <row r="448" spans="1:8" x14ac:dyDescent="0.5">
      <c r="A448" s="1">
        <v>8</v>
      </c>
      <c r="B448" s="1" t="s">
        <v>478</v>
      </c>
      <c r="C448" s="1" t="s">
        <v>18</v>
      </c>
      <c r="D448" s="1">
        <v>170</v>
      </c>
      <c r="E448" s="1">
        <v>1</v>
      </c>
      <c r="F448" s="1">
        <v>171</v>
      </c>
      <c r="G448" s="1">
        <v>0.2</v>
      </c>
      <c r="H448" s="1">
        <v>41</v>
      </c>
    </row>
    <row r="449" spans="1:8" x14ac:dyDescent="0.5">
      <c r="A449" s="1">
        <v>9</v>
      </c>
      <c r="B449" s="1" t="s">
        <v>479</v>
      </c>
      <c r="C449" s="1" t="s">
        <v>18</v>
      </c>
      <c r="D449" s="1">
        <v>80</v>
      </c>
      <c r="E449" s="1">
        <v>0</v>
      </c>
      <c r="F449" s="1">
        <v>80</v>
      </c>
      <c r="G449" s="1">
        <v>0.09</v>
      </c>
      <c r="H449" s="1">
        <v>41</v>
      </c>
    </row>
    <row r="450" spans="1:8" x14ac:dyDescent="0.5">
      <c r="A450" s="1">
        <v>10</v>
      </c>
      <c r="B450" s="1" t="s">
        <v>20</v>
      </c>
      <c r="C450" s="1" t="s">
        <v>21</v>
      </c>
      <c r="D450" s="1">
        <v>438</v>
      </c>
      <c r="E450" s="1">
        <v>3</v>
      </c>
      <c r="F450" s="1">
        <v>441</v>
      </c>
      <c r="G450" s="1">
        <v>0.52</v>
      </c>
      <c r="H450" s="1">
        <v>41</v>
      </c>
    </row>
    <row r="451" spans="1:8" x14ac:dyDescent="0.5">
      <c r="A451" s="1">
        <v>1</v>
      </c>
      <c r="B451" s="1" t="s">
        <v>480</v>
      </c>
      <c r="C451" s="1" t="s">
        <v>9</v>
      </c>
      <c r="D451" s="1">
        <v>26918</v>
      </c>
      <c r="E451" s="1">
        <v>101</v>
      </c>
      <c r="F451" s="1">
        <v>27019</v>
      </c>
      <c r="G451" s="1">
        <v>31.98</v>
      </c>
      <c r="H451" s="1">
        <v>42</v>
      </c>
    </row>
    <row r="452" spans="1:8" x14ac:dyDescent="0.5">
      <c r="A452" s="16">
        <v>2</v>
      </c>
      <c r="B452" s="16" t="s">
        <v>481</v>
      </c>
      <c r="C452" s="16" t="s">
        <v>782</v>
      </c>
      <c r="D452" s="16">
        <v>37896</v>
      </c>
      <c r="E452" s="16">
        <v>171</v>
      </c>
      <c r="F452" s="16">
        <v>38067</v>
      </c>
      <c r="G452" s="16">
        <v>45.06</v>
      </c>
      <c r="H452" s="16">
        <v>42</v>
      </c>
    </row>
    <row r="453" spans="1:8" x14ac:dyDescent="0.5">
      <c r="A453" s="1">
        <v>3</v>
      </c>
      <c r="B453" s="1" t="s">
        <v>482</v>
      </c>
      <c r="C453" s="1" t="s">
        <v>23</v>
      </c>
      <c r="D453" s="1">
        <v>149</v>
      </c>
      <c r="E453" s="1">
        <v>1</v>
      </c>
      <c r="F453" s="1">
        <v>150</v>
      </c>
      <c r="G453" s="1">
        <v>0.18</v>
      </c>
      <c r="H453" s="1">
        <v>42</v>
      </c>
    </row>
    <row r="454" spans="1:8" x14ac:dyDescent="0.5">
      <c r="A454" s="1">
        <v>4</v>
      </c>
      <c r="B454" s="1" t="s">
        <v>483</v>
      </c>
      <c r="C454" s="1" t="s">
        <v>12</v>
      </c>
      <c r="D454" s="1">
        <v>18558</v>
      </c>
      <c r="E454" s="1">
        <v>59</v>
      </c>
      <c r="F454" s="1">
        <v>18617</v>
      </c>
      <c r="G454" s="1">
        <v>22.04</v>
      </c>
      <c r="H454" s="1">
        <v>42</v>
      </c>
    </row>
    <row r="455" spans="1:8" x14ac:dyDescent="0.5">
      <c r="A455" s="1">
        <v>5</v>
      </c>
      <c r="B455" s="1" t="s">
        <v>484</v>
      </c>
      <c r="C455" s="1" t="s">
        <v>18</v>
      </c>
      <c r="D455" s="1">
        <v>157</v>
      </c>
      <c r="E455" s="1">
        <v>1</v>
      </c>
      <c r="F455" s="1">
        <v>158</v>
      </c>
      <c r="G455" s="1">
        <v>0.19</v>
      </c>
      <c r="H455" s="1">
        <v>42</v>
      </c>
    </row>
    <row r="456" spans="1:8" x14ac:dyDescent="0.5">
      <c r="A456" s="1">
        <v>6</v>
      </c>
      <c r="B456" s="1" t="s">
        <v>20</v>
      </c>
      <c r="C456" s="1" t="s">
        <v>21</v>
      </c>
      <c r="D456" s="1">
        <v>470</v>
      </c>
      <c r="E456" s="1">
        <v>2</v>
      </c>
      <c r="F456" s="1">
        <v>472</v>
      </c>
      <c r="G456" s="1">
        <v>0.56000000000000005</v>
      </c>
      <c r="H456" s="1">
        <v>42</v>
      </c>
    </row>
    <row r="457" spans="1:8" x14ac:dyDescent="0.5">
      <c r="A457" s="1">
        <v>1</v>
      </c>
      <c r="B457" s="1" t="s">
        <v>485</v>
      </c>
      <c r="C457" s="1" t="s">
        <v>23</v>
      </c>
      <c r="D457" s="1">
        <v>237</v>
      </c>
      <c r="E457" s="1">
        <v>1</v>
      </c>
      <c r="F457" s="1">
        <v>238</v>
      </c>
      <c r="G457" s="1">
        <v>0.28000000000000003</v>
      </c>
      <c r="H457" s="1">
        <v>43</v>
      </c>
    </row>
    <row r="458" spans="1:8" x14ac:dyDescent="0.5">
      <c r="A458" s="1">
        <v>2</v>
      </c>
      <c r="B458" s="1" t="s">
        <v>486</v>
      </c>
      <c r="C458" s="1" t="s">
        <v>9</v>
      </c>
      <c r="D458" s="1">
        <v>6734</v>
      </c>
      <c r="E458" s="1">
        <v>36</v>
      </c>
      <c r="F458" s="1">
        <v>6770</v>
      </c>
      <c r="G458" s="1">
        <v>7.96</v>
      </c>
      <c r="H458" s="1">
        <v>43</v>
      </c>
    </row>
    <row r="459" spans="1:8" x14ac:dyDescent="0.5">
      <c r="A459" s="16">
        <v>3</v>
      </c>
      <c r="B459" s="16" t="s">
        <v>487</v>
      </c>
      <c r="C459" s="16" t="s">
        <v>782</v>
      </c>
      <c r="D459" s="16">
        <v>39216</v>
      </c>
      <c r="E459" s="16">
        <v>348</v>
      </c>
      <c r="F459" s="16">
        <v>39564</v>
      </c>
      <c r="G459" s="16">
        <v>46.53</v>
      </c>
      <c r="H459" s="16">
        <v>43</v>
      </c>
    </row>
    <row r="460" spans="1:8" x14ac:dyDescent="0.5">
      <c r="A460" s="1">
        <v>4</v>
      </c>
      <c r="B460" s="1" t="s">
        <v>488</v>
      </c>
      <c r="C460" s="1" t="s">
        <v>12</v>
      </c>
      <c r="D460" s="1">
        <v>37280</v>
      </c>
      <c r="E460" s="1">
        <v>153</v>
      </c>
      <c r="F460" s="1">
        <v>37433</v>
      </c>
      <c r="G460" s="1">
        <v>44.02</v>
      </c>
      <c r="H460" s="1">
        <v>43</v>
      </c>
    </row>
    <row r="461" spans="1:8" x14ac:dyDescent="0.5">
      <c r="A461" s="1">
        <v>5</v>
      </c>
      <c r="B461" s="1" t="s">
        <v>489</v>
      </c>
      <c r="C461" s="1" t="s">
        <v>490</v>
      </c>
      <c r="D461" s="1">
        <v>144</v>
      </c>
      <c r="E461" s="1">
        <v>0</v>
      </c>
      <c r="F461" s="1">
        <v>144</v>
      </c>
      <c r="G461" s="1">
        <v>0.17</v>
      </c>
      <c r="H461" s="1">
        <v>43</v>
      </c>
    </row>
    <row r="462" spans="1:8" x14ac:dyDescent="0.5">
      <c r="A462" s="1">
        <v>6</v>
      </c>
      <c r="B462" s="1" t="s">
        <v>491</v>
      </c>
      <c r="C462" s="1" t="s">
        <v>103</v>
      </c>
      <c r="D462" s="1">
        <v>162</v>
      </c>
      <c r="E462" s="1">
        <v>0</v>
      </c>
      <c r="F462" s="1">
        <v>162</v>
      </c>
      <c r="G462" s="1">
        <v>0.19</v>
      </c>
      <c r="H462" s="1">
        <v>43</v>
      </c>
    </row>
    <row r="463" spans="1:8" x14ac:dyDescent="0.5">
      <c r="A463" s="1">
        <v>7</v>
      </c>
      <c r="B463" s="1" t="s">
        <v>492</v>
      </c>
      <c r="C463" s="1" t="s">
        <v>18</v>
      </c>
      <c r="D463" s="1">
        <v>192</v>
      </c>
      <c r="E463" s="1">
        <v>0</v>
      </c>
      <c r="F463" s="1">
        <v>192</v>
      </c>
      <c r="G463" s="1">
        <v>0.23</v>
      </c>
      <c r="H463" s="1">
        <v>43</v>
      </c>
    </row>
    <row r="464" spans="1:8" x14ac:dyDescent="0.5">
      <c r="A464" s="1">
        <v>8</v>
      </c>
      <c r="B464" s="1" t="s">
        <v>20</v>
      </c>
      <c r="C464" s="1" t="s">
        <v>21</v>
      </c>
      <c r="D464" s="1">
        <v>526</v>
      </c>
      <c r="E464" s="1">
        <v>6</v>
      </c>
      <c r="F464" s="1">
        <v>532</v>
      </c>
      <c r="G464" s="1">
        <v>0.63</v>
      </c>
      <c r="H464" s="1">
        <v>43</v>
      </c>
    </row>
    <row r="465" spans="1:8" x14ac:dyDescent="0.5">
      <c r="A465" s="16">
        <v>1</v>
      </c>
      <c r="B465" s="16" t="s">
        <v>493</v>
      </c>
      <c r="C465" s="16" t="s">
        <v>782</v>
      </c>
      <c r="D465" s="16">
        <v>42965</v>
      </c>
      <c r="E465" s="16">
        <v>295</v>
      </c>
      <c r="F465" s="16">
        <v>43260</v>
      </c>
      <c r="G465" s="16">
        <v>56.55</v>
      </c>
      <c r="H465" s="16">
        <v>44</v>
      </c>
    </row>
    <row r="466" spans="1:8" x14ac:dyDescent="0.5">
      <c r="A466" s="1">
        <v>2</v>
      </c>
      <c r="B466" s="1" t="s">
        <v>494</v>
      </c>
      <c r="C466" s="1" t="s">
        <v>12</v>
      </c>
      <c r="D466" s="1">
        <v>28652</v>
      </c>
      <c r="E466" s="1">
        <v>155</v>
      </c>
      <c r="F466" s="1">
        <v>28807</v>
      </c>
      <c r="G466" s="1">
        <v>37.65</v>
      </c>
      <c r="H466" s="1">
        <v>44</v>
      </c>
    </row>
    <row r="467" spans="1:8" x14ac:dyDescent="0.5">
      <c r="A467" s="1">
        <v>3</v>
      </c>
      <c r="B467" s="1" t="s">
        <v>495</v>
      </c>
      <c r="C467" s="1" t="s">
        <v>9</v>
      </c>
      <c r="D467" s="1">
        <v>3048</v>
      </c>
      <c r="E467" s="1">
        <v>31</v>
      </c>
      <c r="F467" s="1">
        <v>3079</v>
      </c>
      <c r="G467" s="1">
        <v>4.0199999999999996</v>
      </c>
      <c r="H467" s="1">
        <v>44</v>
      </c>
    </row>
    <row r="468" spans="1:8" x14ac:dyDescent="0.5">
      <c r="A468" s="1">
        <v>4</v>
      </c>
      <c r="B468" s="1" t="s">
        <v>496</v>
      </c>
      <c r="C468" s="1" t="s">
        <v>23</v>
      </c>
      <c r="D468" s="1">
        <v>202</v>
      </c>
      <c r="E468" s="1">
        <v>0</v>
      </c>
      <c r="F468" s="1">
        <v>202</v>
      </c>
      <c r="G468" s="1">
        <v>0.26</v>
      </c>
      <c r="H468" s="1">
        <v>44</v>
      </c>
    </row>
    <row r="469" spans="1:8" x14ac:dyDescent="0.5">
      <c r="A469" s="1">
        <v>5</v>
      </c>
      <c r="B469" s="1" t="s">
        <v>497</v>
      </c>
      <c r="C469" s="1" t="s">
        <v>498</v>
      </c>
      <c r="D469" s="1">
        <v>25</v>
      </c>
      <c r="E469" s="1">
        <v>0</v>
      </c>
      <c r="F469" s="1">
        <v>25</v>
      </c>
      <c r="G469" s="1">
        <v>0.03</v>
      </c>
      <c r="H469" s="1">
        <v>44</v>
      </c>
    </row>
    <row r="470" spans="1:8" x14ac:dyDescent="0.5">
      <c r="A470" s="1">
        <v>6</v>
      </c>
      <c r="B470" s="1" t="s">
        <v>499</v>
      </c>
      <c r="C470" s="1" t="s">
        <v>103</v>
      </c>
      <c r="D470" s="1">
        <v>99</v>
      </c>
      <c r="E470" s="1">
        <v>0</v>
      </c>
      <c r="F470" s="1">
        <v>99</v>
      </c>
      <c r="G470" s="1">
        <v>0.13</v>
      </c>
      <c r="H470" s="1">
        <v>44</v>
      </c>
    </row>
    <row r="471" spans="1:8" x14ac:dyDescent="0.5">
      <c r="A471" s="1">
        <v>7</v>
      </c>
      <c r="B471" s="1" t="s">
        <v>500</v>
      </c>
      <c r="C471" s="1" t="s">
        <v>353</v>
      </c>
      <c r="D471" s="1">
        <v>76</v>
      </c>
      <c r="E471" s="1">
        <v>0</v>
      </c>
      <c r="F471" s="1">
        <v>76</v>
      </c>
      <c r="G471" s="1">
        <v>0.1</v>
      </c>
      <c r="H471" s="1">
        <v>44</v>
      </c>
    </row>
    <row r="472" spans="1:8" x14ac:dyDescent="0.5">
      <c r="A472" s="1">
        <v>8</v>
      </c>
      <c r="B472" s="1" t="s">
        <v>196</v>
      </c>
      <c r="C472" s="1" t="s">
        <v>60</v>
      </c>
      <c r="D472" s="1">
        <v>52</v>
      </c>
      <c r="E472" s="1">
        <v>0</v>
      </c>
      <c r="F472" s="1">
        <v>52</v>
      </c>
      <c r="G472" s="1">
        <v>7.0000000000000007E-2</v>
      </c>
      <c r="H472" s="1">
        <v>44</v>
      </c>
    </row>
    <row r="473" spans="1:8" x14ac:dyDescent="0.5">
      <c r="A473" s="1">
        <v>9</v>
      </c>
      <c r="B473" s="1" t="s">
        <v>501</v>
      </c>
      <c r="C473" s="1" t="s">
        <v>143</v>
      </c>
      <c r="D473" s="1">
        <v>35</v>
      </c>
      <c r="E473" s="1">
        <v>0</v>
      </c>
      <c r="F473" s="1">
        <v>35</v>
      </c>
      <c r="G473" s="1">
        <v>0.05</v>
      </c>
      <c r="H473" s="1">
        <v>44</v>
      </c>
    </row>
    <row r="474" spans="1:8" x14ac:dyDescent="0.5">
      <c r="A474" s="1">
        <v>10</v>
      </c>
      <c r="B474" s="1" t="s">
        <v>502</v>
      </c>
      <c r="C474" s="1" t="s">
        <v>18</v>
      </c>
      <c r="D474" s="1">
        <v>55</v>
      </c>
      <c r="E474" s="1">
        <v>0</v>
      </c>
      <c r="F474" s="1">
        <v>55</v>
      </c>
      <c r="G474" s="1">
        <v>7.0000000000000007E-2</v>
      </c>
      <c r="H474" s="1">
        <v>44</v>
      </c>
    </row>
    <row r="475" spans="1:8" x14ac:dyDescent="0.5">
      <c r="A475" s="1">
        <v>11</v>
      </c>
      <c r="B475" s="1" t="s">
        <v>503</v>
      </c>
      <c r="C475" s="1" t="s">
        <v>18</v>
      </c>
      <c r="D475" s="1">
        <v>87</v>
      </c>
      <c r="E475" s="1">
        <v>1</v>
      </c>
      <c r="F475" s="1">
        <v>88</v>
      </c>
      <c r="G475" s="1">
        <v>0.12</v>
      </c>
      <c r="H475" s="1">
        <v>44</v>
      </c>
    </row>
    <row r="476" spans="1:8" x14ac:dyDescent="0.5">
      <c r="A476" s="1">
        <v>12</v>
      </c>
      <c r="B476" s="1" t="s">
        <v>504</v>
      </c>
      <c r="C476" s="1" t="s">
        <v>18</v>
      </c>
      <c r="D476" s="1">
        <v>100</v>
      </c>
      <c r="E476" s="1">
        <v>0</v>
      </c>
      <c r="F476" s="1">
        <v>100</v>
      </c>
      <c r="G476" s="1">
        <v>0.13</v>
      </c>
      <c r="H476" s="1">
        <v>44</v>
      </c>
    </row>
    <row r="477" spans="1:8" x14ac:dyDescent="0.5">
      <c r="A477" s="1">
        <v>13</v>
      </c>
      <c r="B477" s="1" t="s">
        <v>505</v>
      </c>
      <c r="C477" s="1" t="s">
        <v>18</v>
      </c>
      <c r="D477" s="1">
        <v>76</v>
      </c>
      <c r="E477" s="1">
        <v>0</v>
      </c>
      <c r="F477" s="1">
        <v>76</v>
      </c>
      <c r="G477" s="1">
        <v>0.1</v>
      </c>
      <c r="H477" s="1">
        <v>44</v>
      </c>
    </row>
    <row r="478" spans="1:8" x14ac:dyDescent="0.5">
      <c r="A478" s="1">
        <v>14</v>
      </c>
      <c r="B478" s="1" t="s">
        <v>20</v>
      </c>
      <c r="C478" s="1" t="s">
        <v>21</v>
      </c>
      <c r="D478" s="1">
        <v>545</v>
      </c>
      <c r="E478" s="1">
        <v>4</v>
      </c>
      <c r="F478" s="1">
        <v>549</v>
      </c>
      <c r="G478" s="1">
        <v>0.72</v>
      </c>
      <c r="H478" s="1">
        <v>44</v>
      </c>
    </row>
    <row r="479" spans="1:8" x14ac:dyDescent="0.5">
      <c r="A479" s="16">
        <v>1</v>
      </c>
      <c r="B479" s="16" t="s">
        <v>506</v>
      </c>
      <c r="C479" s="16" t="s">
        <v>782</v>
      </c>
      <c r="D479" s="16">
        <v>48022</v>
      </c>
      <c r="E479" s="16">
        <v>327</v>
      </c>
      <c r="F479" s="16">
        <v>48349</v>
      </c>
      <c r="G479" s="16">
        <v>41.67</v>
      </c>
      <c r="H479" s="16">
        <v>45</v>
      </c>
    </row>
    <row r="480" spans="1:8" x14ac:dyDescent="0.5">
      <c r="A480" s="1">
        <v>2</v>
      </c>
      <c r="B480" s="1" t="s">
        <v>507</v>
      </c>
      <c r="C480" s="1" t="s">
        <v>9</v>
      </c>
      <c r="D480" s="1">
        <v>9250</v>
      </c>
      <c r="E480" s="1">
        <v>88</v>
      </c>
      <c r="F480" s="1">
        <v>9338</v>
      </c>
      <c r="G480" s="1">
        <v>8.0500000000000007</v>
      </c>
      <c r="H480" s="1">
        <v>45</v>
      </c>
    </row>
    <row r="481" spans="1:8" x14ac:dyDescent="0.5">
      <c r="A481" s="1">
        <v>3</v>
      </c>
      <c r="B481" s="1" t="s">
        <v>508</v>
      </c>
      <c r="C481" s="1" t="s">
        <v>12</v>
      </c>
      <c r="D481" s="1">
        <v>46426</v>
      </c>
      <c r="E481" s="1">
        <v>141</v>
      </c>
      <c r="F481" s="1">
        <v>46567</v>
      </c>
      <c r="G481" s="1">
        <v>40.130000000000003</v>
      </c>
      <c r="H481" s="1">
        <v>45</v>
      </c>
    </row>
    <row r="482" spans="1:8" x14ac:dyDescent="0.5">
      <c r="A482" s="1">
        <v>4</v>
      </c>
      <c r="B482" s="1" t="s">
        <v>509</v>
      </c>
      <c r="C482" s="1" t="s">
        <v>23</v>
      </c>
      <c r="D482" s="1">
        <v>771</v>
      </c>
      <c r="E482" s="1">
        <v>7</v>
      </c>
      <c r="F482" s="1">
        <v>778</v>
      </c>
      <c r="G482" s="1">
        <v>0.67</v>
      </c>
      <c r="H482" s="1">
        <v>45</v>
      </c>
    </row>
    <row r="483" spans="1:8" x14ac:dyDescent="0.5">
      <c r="A483" s="1">
        <v>5</v>
      </c>
      <c r="B483" s="1" t="s">
        <v>510</v>
      </c>
      <c r="C483" s="1" t="s">
        <v>511</v>
      </c>
      <c r="D483" s="1">
        <v>181</v>
      </c>
      <c r="E483" s="1">
        <v>0</v>
      </c>
      <c r="F483" s="1">
        <v>181</v>
      </c>
      <c r="G483" s="1">
        <v>0.16</v>
      </c>
      <c r="H483" s="1">
        <v>45</v>
      </c>
    </row>
    <row r="484" spans="1:8" x14ac:dyDescent="0.5">
      <c r="A484" s="1">
        <v>6</v>
      </c>
      <c r="B484" s="1" t="s">
        <v>512</v>
      </c>
      <c r="C484" s="1" t="s">
        <v>60</v>
      </c>
      <c r="D484" s="1">
        <v>104</v>
      </c>
      <c r="E484" s="1">
        <v>0</v>
      </c>
      <c r="F484" s="1">
        <v>104</v>
      </c>
      <c r="G484" s="1">
        <v>0.09</v>
      </c>
      <c r="H484" s="1">
        <v>45</v>
      </c>
    </row>
    <row r="485" spans="1:8" x14ac:dyDescent="0.5">
      <c r="A485" s="1">
        <v>7</v>
      </c>
      <c r="B485" s="1" t="s">
        <v>513</v>
      </c>
      <c r="C485" s="1" t="s">
        <v>33</v>
      </c>
      <c r="D485" s="1">
        <v>140</v>
      </c>
      <c r="E485" s="1">
        <v>0</v>
      </c>
      <c r="F485" s="1">
        <v>140</v>
      </c>
      <c r="G485" s="1">
        <v>0.12</v>
      </c>
      <c r="H485" s="1">
        <v>45</v>
      </c>
    </row>
    <row r="486" spans="1:8" x14ac:dyDescent="0.5">
      <c r="A486" s="1">
        <v>8</v>
      </c>
      <c r="B486" s="1" t="s">
        <v>514</v>
      </c>
      <c r="C486" s="1" t="s">
        <v>18</v>
      </c>
      <c r="D486" s="1">
        <v>9685</v>
      </c>
      <c r="E486" s="1">
        <v>46</v>
      </c>
      <c r="F486" s="1">
        <v>9731</v>
      </c>
      <c r="G486" s="1">
        <v>8.39</v>
      </c>
      <c r="H486" s="1">
        <v>45</v>
      </c>
    </row>
    <row r="487" spans="1:8" x14ac:dyDescent="0.5">
      <c r="A487" s="1">
        <v>9</v>
      </c>
      <c r="B487" s="1" t="s">
        <v>20</v>
      </c>
      <c r="C487" s="1" t="s">
        <v>21</v>
      </c>
      <c r="D487" s="1">
        <v>840</v>
      </c>
      <c r="E487" s="1">
        <v>6</v>
      </c>
      <c r="F487" s="1">
        <v>846</v>
      </c>
      <c r="G487" s="1">
        <v>0.73</v>
      </c>
      <c r="H487" s="1">
        <v>45</v>
      </c>
    </row>
    <row r="488" spans="1:8" x14ac:dyDescent="0.5">
      <c r="A488" s="16">
        <v>1</v>
      </c>
      <c r="B488" s="16" t="s">
        <v>515</v>
      </c>
      <c r="C488" s="16" t="s">
        <v>782</v>
      </c>
      <c r="D488" s="16">
        <v>80128</v>
      </c>
      <c r="E488" s="16">
        <v>341</v>
      </c>
      <c r="F488" s="16">
        <v>80469</v>
      </c>
      <c r="G488" s="16">
        <v>48.98</v>
      </c>
      <c r="H488" s="16">
        <v>46</v>
      </c>
    </row>
    <row r="489" spans="1:8" x14ac:dyDescent="0.5">
      <c r="A489" s="1">
        <v>2</v>
      </c>
      <c r="B489" s="1" t="s">
        <v>516</v>
      </c>
      <c r="C489" s="1" t="s">
        <v>23</v>
      </c>
      <c r="D489" s="1">
        <v>739</v>
      </c>
      <c r="E489" s="1">
        <v>11</v>
      </c>
      <c r="F489" s="1">
        <v>750</v>
      </c>
      <c r="G489" s="1">
        <v>0.46</v>
      </c>
      <c r="H489" s="1">
        <v>46</v>
      </c>
    </row>
    <row r="490" spans="1:8" x14ac:dyDescent="0.5">
      <c r="A490" s="1">
        <v>3</v>
      </c>
      <c r="B490" s="1" t="s">
        <v>517</v>
      </c>
      <c r="C490" s="1" t="s">
        <v>12</v>
      </c>
      <c r="D490" s="1">
        <v>74029</v>
      </c>
      <c r="E490" s="1">
        <v>201</v>
      </c>
      <c r="F490" s="1">
        <v>74230</v>
      </c>
      <c r="G490" s="1">
        <v>45.18</v>
      </c>
      <c r="H490" s="1">
        <v>46</v>
      </c>
    </row>
    <row r="491" spans="1:8" x14ac:dyDescent="0.5">
      <c r="A491" s="1">
        <v>4</v>
      </c>
      <c r="B491" s="1" t="s">
        <v>518</v>
      </c>
      <c r="C491" s="1" t="s">
        <v>9</v>
      </c>
      <c r="D491" s="1">
        <v>6550</v>
      </c>
      <c r="E491" s="1">
        <v>51</v>
      </c>
      <c r="F491" s="1">
        <v>6601</v>
      </c>
      <c r="G491" s="1">
        <v>4.0199999999999996</v>
      </c>
      <c r="H491" s="1">
        <v>46</v>
      </c>
    </row>
    <row r="492" spans="1:8" x14ac:dyDescent="0.5">
      <c r="A492" s="1">
        <v>5</v>
      </c>
      <c r="B492" s="1" t="s">
        <v>519</v>
      </c>
      <c r="C492" s="1" t="s">
        <v>16</v>
      </c>
      <c r="D492" s="1">
        <v>180</v>
      </c>
      <c r="E492" s="1">
        <v>1</v>
      </c>
      <c r="F492" s="1">
        <v>181</v>
      </c>
      <c r="G492" s="1">
        <v>0.11</v>
      </c>
      <c r="H492" s="1">
        <v>46</v>
      </c>
    </row>
    <row r="493" spans="1:8" x14ac:dyDescent="0.5">
      <c r="A493" s="1">
        <v>6</v>
      </c>
      <c r="B493" s="1" t="s">
        <v>520</v>
      </c>
      <c r="C493" s="1" t="s">
        <v>53</v>
      </c>
      <c r="D493" s="1">
        <v>77</v>
      </c>
      <c r="E493" s="1">
        <v>0</v>
      </c>
      <c r="F493" s="1">
        <v>77</v>
      </c>
      <c r="G493" s="1">
        <v>0.05</v>
      </c>
      <c r="H493" s="1">
        <v>46</v>
      </c>
    </row>
    <row r="494" spans="1:8" x14ac:dyDescent="0.5">
      <c r="A494" s="1">
        <v>7</v>
      </c>
      <c r="B494" s="1" t="s">
        <v>521</v>
      </c>
      <c r="C494" s="1" t="s">
        <v>47</v>
      </c>
      <c r="D494" s="1">
        <v>293</v>
      </c>
      <c r="E494" s="1">
        <v>0</v>
      </c>
      <c r="F494" s="1">
        <v>293</v>
      </c>
      <c r="G494" s="1">
        <v>0.18</v>
      </c>
      <c r="H494" s="1">
        <v>46</v>
      </c>
    </row>
    <row r="495" spans="1:8" x14ac:dyDescent="0.5">
      <c r="A495" s="1">
        <v>8</v>
      </c>
      <c r="B495" s="1" t="s">
        <v>522</v>
      </c>
      <c r="C495" s="1" t="s">
        <v>39</v>
      </c>
      <c r="D495" s="1">
        <v>173</v>
      </c>
      <c r="E495" s="1">
        <v>0</v>
      </c>
      <c r="F495" s="1">
        <v>173</v>
      </c>
      <c r="G495" s="1">
        <v>0.11</v>
      </c>
      <c r="H495" s="1">
        <v>46</v>
      </c>
    </row>
    <row r="496" spans="1:8" x14ac:dyDescent="0.5">
      <c r="A496" s="1">
        <v>9</v>
      </c>
      <c r="B496" s="1" t="s">
        <v>523</v>
      </c>
      <c r="C496" s="1" t="s">
        <v>18</v>
      </c>
      <c r="D496" s="1">
        <v>164</v>
      </c>
      <c r="E496" s="1">
        <v>3</v>
      </c>
      <c r="F496" s="1">
        <v>167</v>
      </c>
      <c r="G496" s="1">
        <v>0.1</v>
      </c>
      <c r="H496" s="1">
        <v>46</v>
      </c>
    </row>
    <row r="497" spans="1:8" x14ac:dyDescent="0.5">
      <c r="A497" s="1">
        <v>10</v>
      </c>
      <c r="B497" s="1" t="s">
        <v>524</v>
      </c>
      <c r="C497" s="1" t="s">
        <v>18</v>
      </c>
      <c r="D497" s="1">
        <v>268</v>
      </c>
      <c r="E497" s="1">
        <v>1</v>
      </c>
      <c r="F497" s="1">
        <v>269</v>
      </c>
      <c r="G497" s="1">
        <v>0.16</v>
      </c>
      <c r="H497" s="1">
        <v>46</v>
      </c>
    </row>
    <row r="498" spans="1:8" x14ac:dyDescent="0.5">
      <c r="A498" s="1">
        <v>11</v>
      </c>
      <c r="B498" s="1" t="s">
        <v>525</v>
      </c>
      <c r="C498" s="1" t="s">
        <v>18</v>
      </c>
      <c r="D498" s="1">
        <v>220</v>
      </c>
      <c r="E498" s="1">
        <v>1</v>
      </c>
      <c r="F498" s="1">
        <v>221</v>
      </c>
      <c r="G498" s="1">
        <v>0.13</v>
      </c>
      <c r="H498" s="1">
        <v>46</v>
      </c>
    </row>
    <row r="499" spans="1:8" x14ac:dyDescent="0.5">
      <c r="A499" s="1">
        <v>12</v>
      </c>
      <c r="B499" s="1" t="s">
        <v>20</v>
      </c>
      <c r="C499" s="1" t="s">
        <v>21</v>
      </c>
      <c r="D499" s="1">
        <v>862</v>
      </c>
      <c r="E499" s="1">
        <v>6</v>
      </c>
      <c r="F499" s="1">
        <v>868</v>
      </c>
      <c r="G499" s="1">
        <v>0.53</v>
      </c>
      <c r="H499" s="1">
        <v>46</v>
      </c>
    </row>
    <row r="500" spans="1:8" x14ac:dyDescent="0.5">
      <c r="A500" s="1">
        <v>1</v>
      </c>
      <c r="B500" s="1" t="s">
        <v>526</v>
      </c>
      <c r="C500" s="1" t="s">
        <v>23</v>
      </c>
      <c r="D500" s="1">
        <v>2569</v>
      </c>
      <c r="E500" s="1">
        <v>12</v>
      </c>
      <c r="F500" s="1">
        <v>2581</v>
      </c>
      <c r="G500" s="1">
        <v>1.64</v>
      </c>
      <c r="H500" s="1">
        <v>47</v>
      </c>
    </row>
    <row r="501" spans="1:8" x14ac:dyDescent="0.5">
      <c r="A501" s="18">
        <v>2</v>
      </c>
      <c r="B501" s="18" t="s">
        <v>527</v>
      </c>
      <c r="C501" s="18" t="s">
        <v>12</v>
      </c>
      <c r="D501" s="18">
        <v>86774</v>
      </c>
      <c r="E501" s="18">
        <v>115</v>
      </c>
      <c r="F501" s="18">
        <v>86889</v>
      </c>
      <c r="G501" s="18">
        <v>55.09</v>
      </c>
      <c r="H501" s="18">
        <v>47</v>
      </c>
    </row>
    <row r="502" spans="1:8" x14ac:dyDescent="0.5">
      <c r="A502" s="1">
        <v>3</v>
      </c>
      <c r="B502" s="1" t="s">
        <v>528</v>
      </c>
      <c r="C502" s="1" t="s">
        <v>9</v>
      </c>
      <c r="D502" s="1">
        <v>12147</v>
      </c>
      <c r="E502" s="1">
        <v>64</v>
      </c>
      <c r="F502" s="1">
        <v>12211</v>
      </c>
      <c r="G502" s="1">
        <v>7.74</v>
      </c>
      <c r="H502" s="1">
        <v>47</v>
      </c>
    </row>
    <row r="503" spans="1:8" x14ac:dyDescent="0.5">
      <c r="A503" s="1">
        <v>4</v>
      </c>
      <c r="B503" s="1" t="s">
        <v>529</v>
      </c>
      <c r="C503" s="1" t="s">
        <v>530</v>
      </c>
      <c r="D503" s="1">
        <v>50124</v>
      </c>
      <c r="E503" s="1">
        <v>85</v>
      </c>
      <c r="F503" s="1">
        <v>50209</v>
      </c>
      <c r="G503" s="1">
        <v>31.83</v>
      </c>
      <c r="H503" s="1">
        <v>47</v>
      </c>
    </row>
    <row r="504" spans="1:8" x14ac:dyDescent="0.5">
      <c r="A504" s="1">
        <v>5</v>
      </c>
      <c r="B504" s="1" t="s">
        <v>531</v>
      </c>
      <c r="C504" s="1" t="s">
        <v>367</v>
      </c>
      <c r="D504" s="1">
        <v>536</v>
      </c>
      <c r="E504" s="1">
        <v>2</v>
      </c>
      <c r="F504" s="1">
        <v>538</v>
      </c>
      <c r="G504" s="1">
        <v>0.34</v>
      </c>
      <c r="H504" s="1">
        <v>47</v>
      </c>
    </row>
    <row r="505" spans="1:8" x14ac:dyDescent="0.5">
      <c r="A505" s="1">
        <v>6</v>
      </c>
      <c r="B505" s="1" t="s">
        <v>532</v>
      </c>
      <c r="C505" s="1" t="s">
        <v>511</v>
      </c>
      <c r="D505" s="1">
        <v>943</v>
      </c>
      <c r="E505" s="1">
        <v>4</v>
      </c>
      <c r="F505" s="1">
        <v>947</v>
      </c>
      <c r="G505" s="1">
        <v>0.6</v>
      </c>
      <c r="H505" s="1">
        <v>47</v>
      </c>
    </row>
    <row r="506" spans="1:8" x14ac:dyDescent="0.5">
      <c r="A506" s="1">
        <v>7</v>
      </c>
      <c r="B506" s="1" t="s">
        <v>533</v>
      </c>
      <c r="C506" s="1" t="s">
        <v>474</v>
      </c>
      <c r="D506" s="1">
        <v>2225</v>
      </c>
      <c r="E506" s="1">
        <v>4</v>
      </c>
      <c r="F506" s="1">
        <v>2229</v>
      </c>
      <c r="G506" s="1">
        <v>1.41</v>
      </c>
      <c r="H506" s="1">
        <v>47</v>
      </c>
    </row>
    <row r="507" spans="1:8" x14ac:dyDescent="0.5">
      <c r="A507" s="1">
        <v>8</v>
      </c>
      <c r="B507" s="1" t="s">
        <v>20</v>
      </c>
      <c r="C507" s="1" t="s">
        <v>21</v>
      </c>
      <c r="D507" s="1">
        <v>2116</v>
      </c>
      <c r="E507" s="1">
        <v>14</v>
      </c>
      <c r="F507" s="1">
        <v>2130</v>
      </c>
      <c r="G507" s="1">
        <v>1.35</v>
      </c>
      <c r="H507" s="1">
        <v>47</v>
      </c>
    </row>
    <row r="508" spans="1:8" x14ac:dyDescent="0.5">
      <c r="A508" s="18">
        <v>1</v>
      </c>
      <c r="B508" s="18" t="s">
        <v>534</v>
      </c>
      <c r="C508" s="18" t="s">
        <v>12</v>
      </c>
      <c r="D508" s="18">
        <v>46122</v>
      </c>
      <c r="E508" s="18">
        <v>163</v>
      </c>
      <c r="F508" s="18">
        <v>46285</v>
      </c>
      <c r="G508" s="18">
        <v>47.62</v>
      </c>
      <c r="H508" s="18">
        <v>48</v>
      </c>
    </row>
    <row r="509" spans="1:8" x14ac:dyDescent="0.5">
      <c r="A509" s="2">
        <v>2</v>
      </c>
      <c r="B509" s="2" t="s">
        <v>535</v>
      </c>
      <c r="C509" s="2" t="s">
        <v>782</v>
      </c>
      <c r="D509" s="2">
        <v>41877</v>
      </c>
      <c r="E509" s="2">
        <v>178</v>
      </c>
      <c r="F509" s="2">
        <v>42055</v>
      </c>
      <c r="G509" s="2">
        <v>43.27</v>
      </c>
      <c r="H509" s="2">
        <v>48</v>
      </c>
    </row>
    <row r="510" spans="1:8" x14ac:dyDescent="0.5">
      <c r="A510" s="1">
        <v>3</v>
      </c>
      <c r="B510" s="1" t="s">
        <v>536</v>
      </c>
      <c r="C510" s="1" t="s">
        <v>9</v>
      </c>
      <c r="D510" s="1">
        <v>7129</v>
      </c>
      <c r="E510" s="1">
        <v>43</v>
      </c>
      <c r="F510" s="1">
        <v>7172</v>
      </c>
      <c r="G510" s="1">
        <v>7.38</v>
      </c>
      <c r="H510" s="1">
        <v>48</v>
      </c>
    </row>
    <row r="511" spans="1:8" x14ac:dyDescent="0.5">
      <c r="A511" s="1">
        <v>4</v>
      </c>
      <c r="B511" s="1" t="s">
        <v>537</v>
      </c>
      <c r="C511" s="1" t="s">
        <v>23</v>
      </c>
      <c r="D511" s="1">
        <v>390</v>
      </c>
      <c r="E511" s="1">
        <v>7</v>
      </c>
      <c r="F511" s="1">
        <v>397</v>
      </c>
      <c r="G511" s="1">
        <v>0.41</v>
      </c>
      <c r="H511" s="1">
        <v>48</v>
      </c>
    </row>
    <row r="512" spans="1:8" x14ac:dyDescent="0.5">
      <c r="A512" s="1">
        <v>5</v>
      </c>
      <c r="B512" s="1" t="s">
        <v>538</v>
      </c>
      <c r="C512" s="1" t="s">
        <v>458</v>
      </c>
      <c r="D512" s="1">
        <v>302</v>
      </c>
      <c r="E512" s="1">
        <v>0</v>
      </c>
      <c r="F512" s="1">
        <v>302</v>
      </c>
      <c r="G512" s="1">
        <v>0.31</v>
      </c>
      <c r="H512" s="1">
        <v>48</v>
      </c>
    </row>
    <row r="513" spans="1:8" x14ac:dyDescent="0.5">
      <c r="A513" s="1">
        <v>6</v>
      </c>
      <c r="B513" s="1" t="s">
        <v>539</v>
      </c>
      <c r="C513" s="1" t="s">
        <v>33</v>
      </c>
      <c r="D513" s="1">
        <v>32</v>
      </c>
      <c r="E513" s="1">
        <v>0</v>
      </c>
      <c r="F513" s="1">
        <v>32</v>
      </c>
      <c r="G513" s="1">
        <v>0.03</v>
      </c>
      <c r="H513" s="1">
        <v>48</v>
      </c>
    </row>
    <row r="514" spans="1:8" x14ac:dyDescent="0.5">
      <c r="A514" s="1">
        <v>7</v>
      </c>
      <c r="B514" s="1" t="s">
        <v>540</v>
      </c>
      <c r="C514" s="1" t="s">
        <v>16</v>
      </c>
      <c r="D514" s="1">
        <v>255</v>
      </c>
      <c r="E514" s="1">
        <v>6</v>
      </c>
      <c r="F514" s="1">
        <v>261</v>
      </c>
      <c r="G514" s="1">
        <v>0.27</v>
      </c>
      <c r="H514" s="1">
        <v>48</v>
      </c>
    </row>
    <row r="515" spans="1:8" x14ac:dyDescent="0.5">
      <c r="A515" s="1">
        <v>8</v>
      </c>
      <c r="B515" s="1" t="s">
        <v>541</v>
      </c>
      <c r="C515" s="1" t="s">
        <v>474</v>
      </c>
      <c r="D515" s="1">
        <v>85</v>
      </c>
      <c r="E515" s="1">
        <v>0</v>
      </c>
      <c r="F515" s="1">
        <v>85</v>
      </c>
      <c r="G515" s="1">
        <v>0.09</v>
      </c>
      <c r="H515" s="1">
        <v>48</v>
      </c>
    </row>
    <row r="516" spans="1:8" x14ac:dyDescent="0.5">
      <c r="A516" s="1">
        <v>9</v>
      </c>
      <c r="B516" s="1" t="s">
        <v>278</v>
      </c>
      <c r="C516" s="1" t="s">
        <v>18</v>
      </c>
      <c r="D516" s="1">
        <v>101</v>
      </c>
      <c r="E516" s="1">
        <v>1</v>
      </c>
      <c r="F516" s="1">
        <v>102</v>
      </c>
      <c r="G516" s="1">
        <v>0.1</v>
      </c>
      <c r="H516" s="1">
        <v>48</v>
      </c>
    </row>
    <row r="517" spans="1:8" x14ac:dyDescent="0.5">
      <c r="A517" s="1">
        <v>10</v>
      </c>
      <c r="B517" s="1" t="s">
        <v>20</v>
      </c>
      <c r="C517" s="1" t="s">
        <v>21</v>
      </c>
      <c r="D517" s="1">
        <v>497</v>
      </c>
      <c r="E517" s="1">
        <v>1</v>
      </c>
      <c r="F517" s="1">
        <v>498</v>
      </c>
      <c r="G517" s="1">
        <v>0.51</v>
      </c>
      <c r="H517" s="1">
        <v>48</v>
      </c>
    </row>
    <row r="518" spans="1:8" x14ac:dyDescent="0.5">
      <c r="A518" s="16">
        <v>1</v>
      </c>
      <c r="B518" s="16" t="s">
        <v>542</v>
      </c>
      <c r="C518" s="16" t="s">
        <v>782</v>
      </c>
      <c r="D518" s="16">
        <v>53980</v>
      </c>
      <c r="E518" s="16">
        <v>69</v>
      </c>
      <c r="F518" s="16">
        <v>54049</v>
      </c>
      <c r="G518" s="16">
        <v>42.99</v>
      </c>
      <c r="H518" s="16">
        <v>49</v>
      </c>
    </row>
    <row r="519" spans="1:8" x14ac:dyDescent="0.5">
      <c r="A519" s="1">
        <v>2</v>
      </c>
      <c r="B519" s="1" t="s">
        <v>543</v>
      </c>
      <c r="C519" s="1" t="s">
        <v>23</v>
      </c>
      <c r="D519" s="1">
        <v>795</v>
      </c>
      <c r="E519" s="1">
        <v>1</v>
      </c>
      <c r="F519" s="1">
        <v>796</v>
      </c>
      <c r="G519" s="1">
        <v>0.63</v>
      </c>
      <c r="H519" s="1">
        <v>49</v>
      </c>
    </row>
    <row r="520" spans="1:8" x14ac:dyDescent="0.5">
      <c r="A520" s="1">
        <v>3</v>
      </c>
      <c r="B520" s="1" t="s">
        <v>544</v>
      </c>
      <c r="C520" s="1" t="s">
        <v>12</v>
      </c>
      <c r="D520" s="1">
        <v>53658</v>
      </c>
      <c r="E520" s="1">
        <v>47</v>
      </c>
      <c r="F520" s="1">
        <v>53705</v>
      </c>
      <c r="G520" s="1">
        <v>42.72</v>
      </c>
      <c r="H520" s="1">
        <v>49</v>
      </c>
    </row>
    <row r="521" spans="1:8" x14ac:dyDescent="0.5">
      <c r="A521" s="1">
        <v>4</v>
      </c>
      <c r="B521" s="1" t="s">
        <v>545</v>
      </c>
      <c r="C521" s="1" t="s">
        <v>9</v>
      </c>
      <c r="D521" s="1">
        <v>15840</v>
      </c>
      <c r="E521" s="1">
        <v>23</v>
      </c>
      <c r="F521" s="1">
        <v>15863</v>
      </c>
      <c r="G521" s="1">
        <v>12.62</v>
      </c>
      <c r="H521" s="1">
        <v>49</v>
      </c>
    </row>
    <row r="522" spans="1:8" x14ac:dyDescent="0.5">
      <c r="A522" s="1">
        <v>5</v>
      </c>
      <c r="B522" s="1" t="s">
        <v>546</v>
      </c>
      <c r="C522" s="1" t="s">
        <v>39</v>
      </c>
      <c r="D522" s="1">
        <v>78</v>
      </c>
      <c r="E522" s="1">
        <v>0</v>
      </c>
      <c r="F522" s="1">
        <v>78</v>
      </c>
      <c r="G522" s="1">
        <v>0.06</v>
      </c>
      <c r="H522" s="1">
        <v>49</v>
      </c>
    </row>
    <row r="523" spans="1:8" x14ac:dyDescent="0.5">
      <c r="A523" s="1">
        <v>6</v>
      </c>
      <c r="B523" s="1" t="s">
        <v>547</v>
      </c>
      <c r="C523" s="1" t="s">
        <v>53</v>
      </c>
      <c r="D523" s="1">
        <v>68</v>
      </c>
      <c r="E523" s="1">
        <v>0</v>
      </c>
      <c r="F523" s="1">
        <v>68</v>
      </c>
      <c r="G523" s="1">
        <v>0.05</v>
      </c>
      <c r="H523" s="1">
        <v>49</v>
      </c>
    </row>
    <row r="524" spans="1:8" x14ac:dyDescent="0.5">
      <c r="A524" s="1">
        <v>7</v>
      </c>
      <c r="B524" s="1" t="s">
        <v>548</v>
      </c>
      <c r="C524" s="1" t="s">
        <v>16</v>
      </c>
      <c r="D524" s="1">
        <v>83</v>
      </c>
      <c r="E524" s="1">
        <v>0</v>
      </c>
      <c r="F524" s="1">
        <v>83</v>
      </c>
      <c r="G524" s="1">
        <v>7.0000000000000007E-2</v>
      </c>
      <c r="H524" s="1">
        <v>49</v>
      </c>
    </row>
    <row r="525" spans="1:8" x14ac:dyDescent="0.5">
      <c r="A525" s="1">
        <v>8</v>
      </c>
      <c r="B525" s="1" t="s">
        <v>549</v>
      </c>
      <c r="C525" s="1" t="s">
        <v>511</v>
      </c>
      <c r="D525" s="1">
        <v>143</v>
      </c>
      <c r="E525" s="1">
        <v>0</v>
      </c>
      <c r="F525" s="1">
        <v>143</v>
      </c>
      <c r="G525" s="1">
        <v>0.11</v>
      </c>
      <c r="H525" s="1">
        <v>49</v>
      </c>
    </row>
    <row r="526" spans="1:8" x14ac:dyDescent="0.5">
      <c r="A526" s="1">
        <v>9</v>
      </c>
      <c r="B526" s="1" t="s">
        <v>550</v>
      </c>
      <c r="C526" s="1" t="s">
        <v>18</v>
      </c>
      <c r="D526" s="1">
        <v>195</v>
      </c>
      <c r="E526" s="1">
        <v>0</v>
      </c>
      <c r="F526" s="1">
        <v>195</v>
      </c>
      <c r="G526" s="1">
        <v>0.16</v>
      </c>
      <c r="H526" s="1">
        <v>49</v>
      </c>
    </row>
    <row r="527" spans="1:8" x14ac:dyDescent="0.5">
      <c r="A527" s="1">
        <v>10</v>
      </c>
      <c r="B527" s="1" t="s">
        <v>551</v>
      </c>
      <c r="C527" s="1" t="s">
        <v>18</v>
      </c>
      <c r="D527" s="1">
        <v>136</v>
      </c>
      <c r="E527" s="1">
        <v>0</v>
      </c>
      <c r="F527" s="1">
        <v>136</v>
      </c>
      <c r="G527" s="1">
        <v>0.11</v>
      </c>
      <c r="H527" s="1">
        <v>49</v>
      </c>
    </row>
    <row r="528" spans="1:8" x14ac:dyDescent="0.5">
      <c r="A528" s="1">
        <v>11</v>
      </c>
      <c r="B528" s="1" t="s">
        <v>552</v>
      </c>
      <c r="C528" s="1" t="s">
        <v>18</v>
      </c>
      <c r="D528" s="1">
        <v>61</v>
      </c>
      <c r="E528" s="1">
        <v>0</v>
      </c>
      <c r="F528" s="1">
        <v>61</v>
      </c>
      <c r="G528" s="1">
        <v>0.05</v>
      </c>
      <c r="H528" s="1">
        <v>49</v>
      </c>
    </row>
    <row r="529" spans="1:8" x14ac:dyDescent="0.5">
      <c r="A529" s="1">
        <v>12</v>
      </c>
      <c r="B529" s="1" t="s">
        <v>20</v>
      </c>
      <c r="C529" s="1" t="s">
        <v>21</v>
      </c>
      <c r="D529" s="1">
        <v>534</v>
      </c>
      <c r="E529" s="1">
        <v>3</v>
      </c>
      <c r="F529" s="1">
        <v>537</v>
      </c>
      <c r="G529" s="1">
        <v>0.43</v>
      </c>
      <c r="H529" s="1">
        <v>49</v>
      </c>
    </row>
    <row r="530" spans="1:8" x14ac:dyDescent="0.5">
      <c r="A530" s="1">
        <v>1</v>
      </c>
      <c r="B530" s="1" t="s">
        <v>553</v>
      </c>
      <c r="C530" s="1" t="s">
        <v>9</v>
      </c>
      <c r="D530" s="1">
        <v>6677</v>
      </c>
      <c r="E530" s="1">
        <v>34</v>
      </c>
      <c r="F530" s="1">
        <v>6711</v>
      </c>
      <c r="G530" s="1">
        <v>6.46</v>
      </c>
      <c r="H530" s="1">
        <v>50</v>
      </c>
    </row>
    <row r="531" spans="1:8" x14ac:dyDescent="0.5">
      <c r="A531" s="1">
        <v>2</v>
      </c>
      <c r="B531" s="1" t="s">
        <v>554</v>
      </c>
      <c r="C531" s="1" t="s">
        <v>23</v>
      </c>
      <c r="D531" s="1">
        <v>235</v>
      </c>
      <c r="E531" s="1">
        <v>0</v>
      </c>
      <c r="F531" s="1">
        <v>235</v>
      </c>
      <c r="G531" s="1">
        <v>0.23</v>
      </c>
      <c r="H531" s="1">
        <v>50</v>
      </c>
    </row>
    <row r="532" spans="1:8" x14ac:dyDescent="0.5">
      <c r="A532" s="16">
        <v>3</v>
      </c>
      <c r="B532" s="16" t="s">
        <v>555</v>
      </c>
      <c r="C532" s="16" t="s">
        <v>782</v>
      </c>
      <c r="D532" s="16">
        <v>49370</v>
      </c>
      <c r="E532" s="16">
        <v>224</v>
      </c>
      <c r="F532" s="16">
        <v>49594</v>
      </c>
      <c r="G532" s="16">
        <v>47.74</v>
      </c>
      <c r="H532" s="16">
        <v>50</v>
      </c>
    </row>
    <row r="533" spans="1:8" x14ac:dyDescent="0.5">
      <c r="A533" s="1">
        <v>4</v>
      </c>
      <c r="B533" s="1" t="s">
        <v>556</v>
      </c>
      <c r="C533" s="1" t="s">
        <v>12</v>
      </c>
      <c r="D533" s="1">
        <v>46231</v>
      </c>
      <c r="E533" s="1">
        <v>175</v>
      </c>
      <c r="F533" s="1">
        <v>46406</v>
      </c>
      <c r="G533" s="1">
        <v>44.67</v>
      </c>
      <c r="H533" s="1">
        <v>50</v>
      </c>
    </row>
    <row r="534" spans="1:8" x14ac:dyDescent="0.5">
      <c r="A534" s="1">
        <v>5</v>
      </c>
      <c r="B534" s="1" t="s">
        <v>557</v>
      </c>
      <c r="C534" s="1" t="s">
        <v>447</v>
      </c>
      <c r="D534" s="1">
        <v>96</v>
      </c>
      <c r="E534" s="1">
        <v>0</v>
      </c>
      <c r="F534" s="1">
        <v>96</v>
      </c>
      <c r="G534" s="1">
        <v>0.09</v>
      </c>
      <c r="H534" s="1">
        <v>50</v>
      </c>
    </row>
    <row r="535" spans="1:8" x14ac:dyDescent="0.5">
      <c r="A535" s="1">
        <v>6</v>
      </c>
      <c r="B535" s="1" t="s">
        <v>558</v>
      </c>
      <c r="C535" s="1" t="s">
        <v>474</v>
      </c>
      <c r="D535" s="1">
        <v>171</v>
      </c>
      <c r="E535" s="1">
        <v>0</v>
      </c>
      <c r="F535" s="1">
        <v>171</v>
      </c>
      <c r="G535" s="1">
        <v>0.16</v>
      </c>
      <c r="H535" s="1">
        <v>50</v>
      </c>
    </row>
    <row r="536" spans="1:8" x14ac:dyDescent="0.5">
      <c r="A536" s="1">
        <v>7</v>
      </c>
      <c r="B536" s="1" t="s">
        <v>20</v>
      </c>
      <c r="C536" s="1" t="s">
        <v>21</v>
      </c>
      <c r="D536" s="1">
        <v>666</v>
      </c>
      <c r="E536" s="1">
        <v>5</v>
      </c>
      <c r="F536" s="1">
        <v>671</v>
      </c>
      <c r="G536" s="1">
        <v>0.65</v>
      </c>
      <c r="H536" s="1">
        <v>50</v>
      </c>
    </row>
    <row r="537" spans="1:8" x14ac:dyDescent="0.5">
      <c r="A537" s="1">
        <v>1</v>
      </c>
      <c r="B537" s="1" t="s">
        <v>559</v>
      </c>
      <c r="C537" s="1" t="s">
        <v>9</v>
      </c>
      <c r="D537" s="1">
        <v>4367</v>
      </c>
      <c r="E537" s="1">
        <v>25</v>
      </c>
      <c r="F537" s="1">
        <v>4392</v>
      </c>
      <c r="G537" s="1">
        <v>4.1100000000000003</v>
      </c>
      <c r="H537" s="1">
        <v>51</v>
      </c>
    </row>
    <row r="538" spans="1:8" x14ac:dyDescent="0.5">
      <c r="A538" s="18">
        <v>2</v>
      </c>
      <c r="B538" s="18" t="s">
        <v>560</v>
      </c>
      <c r="C538" s="18" t="s">
        <v>12</v>
      </c>
      <c r="D538" s="18">
        <v>52058</v>
      </c>
      <c r="E538" s="18">
        <v>96</v>
      </c>
      <c r="F538" s="18">
        <v>52154</v>
      </c>
      <c r="G538" s="18">
        <v>48.8</v>
      </c>
      <c r="H538" s="18">
        <v>51</v>
      </c>
    </row>
    <row r="539" spans="1:8" x14ac:dyDescent="0.5">
      <c r="A539" s="1">
        <v>3</v>
      </c>
      <c r="B539" s="1" t="s">
        <v>561</v>
      </c>
      <c r="C539" s="1" t="s">
        <v>23</v>
      </c>
      <c r="D539" s="1">
        <v>421</v>
      </c>
      <c r="E539" s="1">
        <v>0</v>
      </c>
      <c r="F539" s="1">
        <v>421</v>
      </c>
      <c r="G539" s="1">
        <v>0.39</v>
      </c>
      <c r="H539" s="1">
        <v>51</v>
      </c>
    </row>
    <row r="540" spans="1:8" x14ac:dyDescent="0.5">
      <c r="A540" s="2">
        <v>4</v>
      </c>
      <c r="B540" s="2" t="s">
        <v>562</v>
      </c>
      <c r="C540" s="2" t="s">
        <v>782</v>
      </c>
      <c r="D540" s="2">
        <v>48478</v>
      </c>
      <c r="E540" s="2">
        <v>155</v>
      </c>
      <c r="F540" s="2">
        <v>48633</v>
      </c>
      <c r="G540" s="2">
        <v>45.5</v>
      </c>
      <c r="H540" s="2">
        <v>51</v>
      </c>
    </row>
    <row r="541" spans="1:8" x14ac:dyDescent="0.5">
      <c r="A541" s="1">
        <v>5</v>
      </c>
      <c r="B541" s="1" t="s">
        <v>563</v>
      </c>
      <c r="C541" s="1" t="s">
        <v>474</v>
      </c>
      <c r="D541" s="1">
        <v>193</v>
      </c>
      <c r="E541" s="1">
        <v>0</v>
      </c>
      <c r="F541" s="1">
        <v>193</v>
      </c>
      <c r="G541" s="1">
        <v>0.18</v>
      </c>
      <c r="H541" s="1">
        <v>51</v>
      </c>
    </row>
    <row r="542" spans="1:8" x14ac:dyDescent="0.5">
      <c r="A542" s="1">
        <v>6</v>
      </c>
      <c r="B542" s="1" t="s">
        <v>564</v>
      </c>
      <c r="C542" s="1" t="s">
        <v>166</v>
      </c>
      <c r="D542" s="1">
        <v>173</v>
      </c>
      <c r="E542" s="1">
        <v>1</v>
      </c>
      <c r="F542" s="1">
        <v>174</v>
      </c>
      <c r="G542" s="1">
        <v>0.16</v>
      </c>
      <c r="H542" s="1">
        <v>51</v>
      </c>
    </row>
    <row r="543" spans="1:8" x14ac:dyDescent="0.5">
      <c r="A543" s="1">
        <v>7</v>
      </c>
      <c r="B543" s="1" t="s">
        <v>565</v>
      </c>
      <c r="C543" s="1" t="s">
        <v>566</v>
      </c>
      <c r="D543" s="1">
        <v>84</v>
      </c>
      <c r="E543" s="1">
        <v>1</v>
      </c>
      <c r="F543" s="1">
        <v>85</v>
      </c>
      <c r="G543" s="1">
        <v>0.08</v>
      </c>
      <c r="H543" s="1">
        <v>51</v>
      </c>
    </row>
    <row r="544" spans="1:8" x14ac:dyDescent="0.5">
      <c r="A544" s="1">
        <v>8</v>
      </c>
      <c r="B544" s="1" t="s">
        <v>190</v>
      </c>
      <c r="C544" s="1" t="s">
        <v>567</v>
      </c>
      <c r="D544" s="1">
        <v>23</v>
      </c>
      <c r="E544" s="1">
        <v>0</v>
      </c>
      <c r="F544" s="1">
        <v>23</v>
      </c>
      <c r="G544" s="1">
        <v>0.02</v>
      </c>
      <c r="H544" s="1">
        <v>51</v>
      </c>
    </row>
    <row r="545" spans="1:8" x14ac:dyDescent="0.5">
      <c r="A545" s="1">
        <v>9</v>
      </c>
      <c r="B545" s="1" t="s">
        <v>568</v>
      </c>
      <c r="C545" s="1" t="s">
        <v>31</v>
      </c>
      <c r="D545" s="1">
        <v>28</v>
      </c>
      <c r="E545" s="1">
        <v>0</v>
      </c>
      <c r="F545" s="1">
        <v>28</v>
      </c>
      <c r="G545" s="1">
        <v>0.03</v>
      </c>
      <c r="H545" s="1">
        <v>51</v>
      </c>
    </row>
    <row r="546" spans="1:8" x14ac:dyDescent="0.5">
      <c r="A546" s="1">
        <v>10</v>
      </c>
      <c r="B546" s="1" t="s">
        <v>569</v>
      </c>
      <c r="C546" s="1" t="s">
        <v>18</v>
      </c>
      <c r="D546" s="1">
        <v>31</v>
      </c>
      <c r="E546" s="1">
        <v>0</v>
      </c>
      <c r="F546" s="1">
        <v>31</v>
      </c>
      <c r="G546" s="1">
        <v>0.03</v>
      </c>
      <c r="H546" s="1">
        <v>51</v>
      </c>
    </row>
    <row r="547" spans="1:8" x14ac:dyDescent="0.5">
      <c r="A547" s="1">
        <v>11</v>
      </c>
      <c r="B547" s="1" t="s">
        <v>570</v>
      </c>
      <c r="C547" s="1" t="s">
        <v>18</v>
      </c>
      <c r="D547" s="1">
        <v>58</v>
      </c>
      <c r="E547" s="1">
        <v>0</v>
      </c>
      <c r="F547" s="1">
        <v>58</v>
      </c>
      <c r="G547" s="1">
        <v>0.05</v>
      </c>
      <c r="H547" s="1">
        <v>51</v>
      </c>
    </row>
    <row r="548" spans="1:8" x14ac:dyDescent="0.5">
      <c r="A548" s="1">
        <v>12</v>
      </c>
      <c r="B548" s="1" t="s">
        <v>301</v>
      </c>
      <c r="C548" s="1" t="s">
        <v>18</v>
      </c>
      <c r="D548" s="1">
        <v>39</v>
      </c>
      <c r="E548" s="1">
        <v>0</v>
      </c>
      <c r="F548" s="1">
        <v>39</v>
      </c>
      <c r="G548" s="1">
        <v>0.04</v>
      </c>
      <c r="H548" s="1">
        <v>51</v>
      </c>
    </row>
    <row r="549" spans="1:8" x14ac:dyDescent="0.5">
      <c r="A549" s="1">
        <v>13</v>
      </c>
      <c r="B549" s="1" t="s">
        <v>571</v>
      </c>
      <c r="C549" s="1" t="s">
        <v>18</v>
      </c>
      <c r="D549" s="1">
        <v>89</v>
      </c>
      <c r="E549" s="1">
        <v>0</v>
      </c>
      <c r="F549" s="1">
        <v>89</v>
      </c>
      <c r="G549" s="1">
        <v>0.08</v>
      </c>
      <c r="H549" s="1">
        <v>51</v>
      </c>
    </row>
    <row r="550" spans="1:8" x14ac:dyDescent="0.5">
      <c r="A550" s="1">
        <v>14</v>
      </c>
      <c r="B550" s="1" t="s">
        <v>20</v>
      </c>
      <c r="C550" s="1" t="s">
        <v>21</v>
      </c>
      <c r="D550" s="1">
        <v>556</v>
      </c>
      <c r="E550" s="1">
        <v>0</v>
      </c>
      <c r="F550" s="1">
        <v>556</v>
      </c>
      <c r="G550" s="1">
        <v>0.52</v>
      </c>
      <c r="H550" s="1">
        <v>51</v>
      </c>
    </row>
    <row r="551" spans="1:8" x14ac:dyDescent="0.5">
      <c r="A551" s="1">
        <v>1</v>
      </c>
      <c r="B551" s="1" t="s">
        <v>572</v>
      </c>
      <c r="C551" s="1" t="s">
        <v>23</v>
      </c>
      <c r="D551" s="1">
        <v>1604</v>
      </c>
      <c r="E551" s="1">
        <v>2</v>
      </c>
      <c r="F551" s="1">
        <v>1606</v>
      </c>
      <c r="G551" s="1">
        <v>1.4</v>
      </c>
      <c r="H551" s="1">
        <v>52</v>
      </c>
    </row>
    <row r="552" spans="1:8" x14ac:dyDescent="0.5">
      <c r="A552" s="2">
        <v>2</v>
      </c>
      <c r="B552" s="2" t="s">
        <v>573</v>
      </c>
      <c r="C552" s="2" t="s">
        <v>782</v>
      </c>
      <c r="D552" s="2">
        <v>47362</v>
      </c>
      <c r="E552" s="2">
        <v>82</v>
      </c>
      <c r="F552" s="2">
        <v>47444</v>
      </c>
      <c r="G552" s="2">
        <v>41.28</v>
      </c>
      <c r="H552" s="2">
        <v>52</v>
      </c>
    </row>
    <row r="553" spans="1:8" x14ac:dyDescent="0.5">
      <c r="A553" s="1">
        <v>3</v>
      </c>
      <c r="B553" s="1" t="s">
        <v>574</v>
      </c>
      <c r="C553" s="1" t="s">
        <v>9</v>
      </c>
      <c r="D553" s="1">
        <v>2303</v>
      </c>
      <c r="E553" s="1">
        <v>10</v>
      </c>
      <c r="F553" s="1">
        <v>2313</v>
      </c>
      <c r="G553" s="1">
        <v>2.0099999999999998</v>
      </c>
      <c r="H553" s="1">
        <v>52</v>
      </c>
    </row>
    <row r="554" spans="1:8" x14ac:dyDescent="0.5">
      <c r="A554" s="18">
        <v>4</v>
      </c>
      <c r="B554" s="18" t="s">
        <v>575</v>
      </c>
      <c r="C554" s="18" t="s">
        <v>12</v>
      </c>
      <c r="D554" s="18">
        <v>62073</v>
      </c>
      <c r="E554" s="18">
        <v>82</v>
      </c>
      <c r="F554" s="18">
        <v>62155</v>
      </c>
      <c r="G554" s="18">
        <v>54.08</v>
      </c>
      <c r="H554" s="18">
        <v>52</v>
      </c>
    </row>
    <row r="555" spans="1:8" x14ac:dyDescent="0.5">
      <c r="A555" s="1">
        <v>5</v>
      </c>
      <c r="B555" s="1" t="s">
        <v>576</v>
      </c>
      <c r="C555" s="1" t="s">
        <v>577</v>
      </c>
      <c r="D555" s="1">
        <v>133</v>
      </c>
      <c r="E555" s="1">
        <v>0</v>
      </c>
      <c r="F555" s="1">
        <v>133</v>
      </c>
      <c r="G555" s="1">
        <v>0.12</v>
      </c>
      <c r="H555" s="1">
        <v>52</v>
      </c>
    </row>
    <row r="556" spans="1:8" x14ac:dyDescent="0.5">
      <c r="A556" s="1">
        <v>6</v>
      </c>
      <c r="B556" s="1" t="s">
        <v>578</v>
      </c>
      <c r="C556" s="1" t="s">
        <v>60</v>
      </c>
      <c r="D556" s="1">
        <v>86</v>
      </c>
      <c r="E556" s="1">
        <v>0</v>
      </c>
      <c r="F556" s="1">
        <v>86</v>
      </c>
      <c r="G556" s="1">
        <v>7.0000000000000007E-2</v>
      </c>
      <c r="H556" s="1">
        <v>52</v>
      </c>
    </row>
    <row r="557" spans="1:8" x14ac:dyDescent="0.5">
      <c r="A557" s="1">
        <v>7</v>
      </c>
      <c r="B557" s="1" t="s">
        <v>454</v>
      </c>
      <c r="C557" s="1" t="s">
        <v>33</v>
      </c>
      <c r="D557" s="1">
        <v>199</v>
      </c>
      <c r="E557" s="1">
        <v>0</v>
      </c>
      <c r="F557" s="1">
        <v>199</v>
      </c>
      <c r="G557" s="1">
        <v>0.17</v>
      </c>
      <c r="H557" s="1">
        <v>52</v>
      </c>
    </row>
    <row r="558" spans="1:8" x14ac:dyDescent="0.5">
      <c r="A558" s="1">
        <v>8</v>
      </c>
      <c r="B558" s="1" t="s">
        <v>579</v>
      </c>
      <c r="C558" s="1" t="s">
        <v>580</v>
      </c>
      <c r="D558" s="1">
        <v>323</v>
      </c>
      <c r="E558" s="1">
        <v>0</v>
      </c>
      <c r="F558" s="1">
        <v>323</v>
      </c>
      <c r="G558" s="1">
        <v>0.28000000000000003</v>
      </c>
      <c r="H558" s="1">
        <v>52</v>
      </c>
    </row>
    <row r="559" spans="1:8" x14ac:dyDescent="0.5">
      <c r="A559" s="1">
        <v>9</v>
      </c>
      <c r="B559" s="1" t="s">
        <v>581</v>
      </c>
      <c r="C559" s="1" t="s">
        <v>18</v>
      </c>
      <c r="D559" s="1">
        <v>143</v>
      </c>
      <c r="E559" s="1">
        <v>0</v>
      </c>
      <c r="F559" s="1">
        <v>143</v>
      </c>
      <c r="G559" s="1">
        <v>0.12</v>
      </c>
      <c r="H559" s="1">
        <v>52</v>
      </c>
    </row>
    <row r="560" spans="1:8" x14ac:dyDescent="0.5">
      <c r="A560" s="1">
        <v>10</v>
      </c>
      <c r="B560" s="1" t="s">
        <v>20</v>
      </c>
      <c r="C560" s="1" t="s">
        <v>21</v>
      </c>
      <c r="D560" s="1">
        <v>534</v>
      </c>
      <c r="E560" s="1">
        <v>2</v>
      </c>
      <c r="F560" s="1">
        <v>536</v>
      </c>
      <c r="G560" s="1">
        <v>0.47</v>
      </c>
      <c r="H560" s="1">
        <v>52</v>
      </c>
    </row>
    <row r="561" spans="1:8" x14ac:dyDescent="0.5">
      <c r="A561" s="1">
        <v>1</v>
      </c>
      <c r="B561" s="1" t="s">
        <v>582</v>
      </c>
      <c r="C561" s="1" t="s">
        <v>9</v>
      </c>
      <c r="D561" s="1">
        <v>3135</v>
      </c>
      <c r="E561" s="1">
        <v>10</v>
      </c>
      <c r="F561" s="1">
        <v>3145</v>
      </c>
      <c r="G561" s="1">
        <v>1.51</v>
      </c>
      <c r="H561" s="1">
        <v>53</v>
      </c>
    </row>
    <row r="562" spans="1:8" x14ac:dyDescent="0.5">
      <c r="A562" s="1">
        <v>2</v>
      </c>
      <c r="B562" s="1" t="s">
        <v>583</v>
      </c>
      <c r="C562" s="1" t="s">
        <v>584</v>
      </c>
      <c r="D562" s="1">
        <v>363</v>
      </c>
      <c r="E562" s="1">
        <v>4</v>
      </c>
      <c r="F562" s="1">
        <v>367</v>
      </c>
      <c r="G562" s="1">
        <v>0.18</v>
      </c>
      <c r="H562" s="1">
        <v>53</v>
      </c>
    </row>
    <row r="563" spans="1:8" x14ac:dyDescent="0.5">
      <c r="A563" s="2">
        <v>3</v>
      </c>
      <c r="B563" s="2" t="s">
        <v>585</v>
      </c>
      <c r="C563" s="2" t="s">
        <v>782</v>
      </c>
      <c r="D563" s="2">
        <v>86865</v>
      </c>
      <c r="E563" s="2">
        <v>238</v>
      </c>
      <c r="F563" s="2">
        <v>87103</v>
      </c>
      <c r="G563" s="2">
        <v>41.86</v>
      </c>
      <c r="H563" s="2">
        <v>53</v>
      </c>
    </row>
    <row r="564" spans="1:8" x14ac:dyDescent="0.5">
      <c r="A564" s="1">
        <v>4</v>
      </c>
      <c r="B564" s="1" t="s">
        <v>586</v>
      </c>
      <c r="C564" s="1" t="s">
        <v>23</v>
      </c>
      <c r="D564" s="1">
        <v>1955</v>
      </c>
      <c r="E564" s="1">
        <v>10</v>
      </c>
      <c r="F564" s="1">
        <v>1965</v>
      </c>
      <c r="G564" s="1">
        <v>0.94</v>
      </c>
      <c r="H564" s="1">
        <v>53</v>
      </c>
    </row>
    <row r="565" spans="1:8" x14ac:dyDescent="0.5">
      <c r="A565" s="18">
        <v>5</v>
      </c>
      <c r="B565" s="18" t="s">
        <v>587</v>
      </c>
      <c r="C565" s="18" t="s">
        <v>12</v>
      </c>
      <c r="D565" s="18">
        <v>112809</v>
      </c>
      <c r="E565" s="18">
        <v>182</v>
      </c>
      <c r="F565" s="18">
        <v>112991</v>
      </c>
      <c r="G565" s="18">
        <v>54.3</v>
      </c>
      <c r="H565" s="18">
        <v>53</v>
      </c>
    </row>
    <row r="566" spans="1:8" x14ac:dyDescent="0.5">
      <c r="A566" s="1">
        <v>6</v>
      </c>
      <c r="B566" s="1" t="s">
        <v>588</v>
      </c>
      <c r="C566" s="1" t="s">
        <v>39</v>
      </c>
      <c r="D566" s="1">
        <v>322</v>
      </c>
      <c r="E566" s="1">
        <v>0</v>
      </c>
      <c r="F566" s="1">
        <v>322</v>
      </c>
      <c r="G566" s="1">
        <v>0.15</v>
      </c>
      <c r="H566" s="1">
        <v>53</v>
      </c>
    </row>
    <row r="567" spans="1:8" x14ac:dyDescent="0.5">
      <c r="A567" s="1">
        <v>7</v>
      </c>
      <c r="B567" s="1" t="s">
        <v>589</v>
      </c>
      <c r="C567" s="1" t="s">
        <v>89</v>
      </c>
      <c r="D567" s="1">
        <v>107</v>
      </c>
      <c r="E567" s="1">
        <v>0</v>
      </c>
      <c r="F567" s="1">
        <v>107</v>
      </c>
      <c r="G567" s="1">
        <v>0.05</v>
      </c>
      <c r="H567" s="1">
        <v>53</v>
      </c>
    </row>
    <row r="568" spans="1:8" x14ac:dyDescent="0.5">
      <c r="A568" s="1">
        <v>8</v>
      </c>
      <c r="B568" s="1" t="s">
        <v>590</v>
      </c>
      <c r="C568" s="1" t="s">
        <v>591</v>
      </c>
      <c r="D568" s="1">
        <v>133</v>
      </c>
      <c r="E568" s="1">
        <v>1</v>
      </c>
      <c r="F568" s="1">
        <v>134</v>
      </c>
      <c r="G568" s="1">
        <v>0.06</v>
      </c>
      <c r="H568" s="1">
        <v>53</v>
      </c>
    </row>
    <row r="569" spans="1:8" x14ac:dyDescent="0.5">
      <c r="A569" s="1">
        <v>9</v>
      </c>
      <c r="B569" s="1" t="s">
        <v>592</v>
      </c>
      <c r="C569" s="1" t="s">
        <v>580</v>
      </c>
      <c r="D569" s="1">
        <v>466</v>
      </c>
      <c r="E569" s="1">
        <v>0</v>
      </c>
      <c r="F569" s="1">
        <v>466</v>
      </c>
      <c r="G569" s="1">
        <v>0.22</v>
      </c>
      <c r="H569" s="1">
        <v>53</v>
      </c>
    </row>
    <row r="570" spans="1:8" x14ac:dyDescent="0.5">
      <c r="A570" s="1">
        <v>10</v>
      </c>
      <c r="B570" s="1" t="s">
        <v>593</v>
      </c>
      <c r="C570" s="1" t="s">
        <v>577</v>
      </c>
      <c r="D570" s="1">
        <v>185</v>
      </c>
      <c r="E570" s="1">
        <v>0</v>
      </c>
      <c r="F570" s="1">
        <v>185</v>
      </c>
      <c r="G570" s="1">
        <v>0.09</v>
      </c>
      <c r="H570" s="1">
        <v>53</v>
      </c>
    </row>
    <row r="571" spans="1:8" x14ac:dyDescent="0.5">
      <c r="A571" s="1">
        <v>11</v>
      </c>
      <c r="B571" s="1" t="s">
        <v>594</v>
      </c>
      <c r="C571" s="1" t="s">
        <v>18</v>
      </c>
      <c r="D571" s="1">
        <v>176</v>
      </c>
      <c r="E571" s="1">
        <v>0</v>
      </c>
      <c r="F571" s="1">
        <v>176</v>
      </c>
      <c r="G571" s="1">
        <v>0.08</v>
      </c>
      <c r="H571" s="1">
        <v>53</v>
      </c>
    </row>
    <row r="572" spans="1:8" x14ac:dyDescent="0.5">
      <c r="A572" s="1">
        <v>12</v>
      </c>
      <c r="B572" s="1" t="s">
        <v>595</v>
      </c>
      <c r="C572" s="1" t="s">
        <v>18</v>
      </c>
      <c r="D572" s="1">
        <v>219</v>
      </c>
      <c r="E572" s="1">
        <v>0</v>
      </c>
      <c r="F572" s="1">
        <v>219</v>
      </c>
      <c r="G572" s="1">
        <v>0.11</v>
      </c>
      <c r="H572" s="1">
        <v>53</v>
      </c>
    </row>
    <row r="573" spans="1:8" x14ac:dyDescent="0.5">
      <c r="A573" s="1">
        <v>13</v>
      </c>
      <c r="B573" s="1" t="s">
        <v>20</v>
      </c>
      <c r="C573" s="1" t="s">
        <v>21</v>
      </c>
      <c r="D573" s="1">
        <v>908</v>
      </c>
      <c r="E573" s="1">
        <v>7</v>
      </c>
      <c r="F573" s="1">
        <v>915</v>
      </c>
      <c r="G573" s="1">
        <v>0.44</v>
      </c>
      <c r="H573" s="1">
        <v>53</v>
      </c>
    </row>
    <row r="574" spans="1:8" x14ac:dyDescent="0.5">
      <c r="A574" s="18">
        <v>1</v>
      </c>
      <c r="B574" s="18" t="s">
        <v>596</v>
      </c>
      <c r="C574" s="18" t="s">
        <v>12</v>
      </c>
      <c r="D574" s="18">
        <v>88751</v>
      </c>
      <c r="E574" s="18">
        <v>192</v>
      </c>
      <c r="F574" s="18">
        <v>88943</v>
      </c>
      <c r="G574" s="18">
        <v>42.45</v>
      </c>
      <c r="H574" s="18">
        <v>54</v>
      </c>
    </row>
    <row r="575" spans="1:8" x14ac:dyDescent="0.5">
      <c r="A575" s="1">
        <v>2</v>
      </c>
      <c r="B575" s="1" t="s">
        <v>597</v>
      </c>
      <c r="C575" s="1" t="s">
        <v>9</v>
      </c>
      <c r="D575" s="1">
        <v>12638</v>
      </c>
      <c r="E575" s="1">
        <v>101</v>
      </c>
      <c r="F575" s="1">
        <v>12739</v>
      </c>
      <c r="G575" s="1">
        <v>6.08</v>
      </c>
      <c r="H575" s="1">
        <v>54</v>
      </c>
    </row>
    <row r="576" spans="1:8" x14ac:dyDescent="0.5">
      <c r="A576" s="2">
        <v>3</v>
      </c>
      <c r="B576" s="2" t="s">
        <v>598</v>
      </c>
      <c r="C576" s="2" t="s">
        <v>782</v>
      </c>
      <c r="D576" s="2">
        <v>65157</v>
      </c>
      <c r="E576" s="2">
        <v>147</v>
      </c>
      <c r="F576" s="2">
        <v>65304</v>
      </c>
      <c r="G576" s="2">
        <v>31.17</v>
      </c>
      <c r="H576" s="2">
        <v>54</v>
      </c>
    </row>
    <row r="577" spans="1:8" x14ac:dyDescent="0.5">
      <c r="A577" s="1">
        <v>4</v>
      </c>
      <c r="B577" s="1" t="s">
        <v>599</v>
      </c>
      <c r="C577" s="1" t="s">
        <v>23</v>
      </c>
      <c r="D577" s="1">
        <v>755</v>
      </c>
      <c r="E577" s="1">
        <v>1</v>
      </c>
      <c r="F577" s="1">
        <v>756</v>
      </c>
      <c r="G577" s="1">
        <v>0.36</v>
      </c>
      <c r="H577" s="1">
        <v>54</v>
      </c>
    </row>
    <row r="578" spans="1:8" x14ac:dyDescent="0.5">
      <c r="A578" s="1">
        <v>5</v>
      </c>
      <c r="B578" s="1" t="s">
        <v>600</v>
      </c>
      <c r="C578" s="1" t="s">
        <v>79</v>
      </c>
      <c r="D578" s="1">
        <v>259</v>
      </c>
      <c r="E578" s="1">
        <v>0</v>
      </c>
      <c r="F578" s="1">
        <v>259</v>
      </c>
      <c r="G578" s="1">
        <v>0.12</v>
      </c>
      <c r="H578" s="1">
        <v>54</v>
      </c>
    </row>
    <row r="579" spans="1:8" x14ac:dyDescent="0.5">
      <c r="A579" s="1">
        <v>6</v>
      </c>
      <c r="B579" s="1" t="s">
        <v>601</v>
      </c>
      <c r="C579" s="1" t="s">
        <v>33</v>
      </c>
      <c r="D579" s="1">
        <v>83</v>
      </c>
      <c r="E579" s="1">
        <v>0</v>
      </c>
      <c r="F579" s="1">
        <v>83</v>
      </c>
      <c r="G579" s="1">
        <v>0.04</v>
      </c>
      <c r="H579" s="1">
        <v>54</v>
      </c>
    </row>
    <row r="580" spans="1:8" x14ac:dyDescent="0.5">
      <c r="A580" s="1">
        <v>7</v>
      </c>
      <c r="B580" s="1" t="s">
        <v>602</v>
      </c>
      <c r="C580" s="1" t="s">
        <v>603</v>
      </c>
      <c r="D580" s="1">
        <v>126</v>
      </c>
      <c r="E580" s="1">
        <v>0</v>
      </c>
      <c r="F580" s="1">
        <v>126</v>
      </c>
      <c r="G580" s="1">
        <v>0.06</v>
      </c>
      <c r="H580" s="1">
        <v>54</v>
      </c>
    </row>
    <row r="581" spans="1:8" x14ac:dyDescent="0.5">
      <c r="A581" s="1">
        <v>8</v>
      </c>
      <c r="B581" s="1" t="s">
        <v>604</v>
      </c>
      <c r="C581" s="1" t="s">
        <v>332</v>
      </c>
      <c r="D581" s="1">
        <v>41</v>
      </c>
      <c r="E581" s="1">
        <v>0</v>
      </c>
      <c r="F581" s="1">
        <v>41</v>
      </c>
      <c r="G581" s="1">
        <v>0.02</v>
      </c>
      <c r="H581" s="1">
        <v>54</v>
      </c>
    </row>
    <row r="582" spans="1:8" x14ac:dyDescent="0.5">
      <c r="A582" s="1">
        <v>9</v>
      </c>
      <c r="B582" s="1" t="s">
        <v>605</v>
      </c>
      <c r="C582" s="1" t="s">
        <v>606</v>
      </c>
      <c r="D582" s="1">
        <v>148</v>
      </c>
      <c r="E582" s="1">
        <v>0</v>
      </c>
      <c r="F582" s="1">
        <v>148</v>
      </c>
      <c r="G582" s="1">
        <v>7.0000000000000007E-2</v>
      </c>
      <c r="H582" s="1">
        <v>54</v>
      </c>
    </row>
    <row r="583" spans="1:8" x14ac:dyDescent="0.5">
      <c r="A583" s="1">
        <v>10</v>
      </c>
      <c r="B583" s="1" t="s">
        <v>607</v>
      </c>
      <c r="C583" s="1" t="s">
        <v>91</v>
      </c>
      <c r="D583" s="1">
        <v>221</v>
      </c>
      <c r="E583" s="1">
        <v>0</v>
      </c>
      <c r="F583" s="1">
        <v>221</v>
      </c>
      <c r="G583" s="1">
        <v>0.11</v>
      </c>
      <c r="H583" s="1">
        <v>54</v>
      </c>
    </row>
    <row r="584" spans="1:8" x14ac:dyDescent="0.5">
      <c r="A584" s="1">
        <v>11</v>
      </c>
      <c r="B584" s="1" t="s">
        <v>608</v>
      </c>
      <c r="C584" s="1" t="s">
        <v>609</v>
      </c>
      <c r="D584" s="1">
        <v>39498</v>
      </c>
      <c r="E584" s="1">
        <v>60</v>
      </c>
      <c r="F584" s="1">
        <v>39558</v>
      </c>
      <c r="G584" s="1">
        <v>18.88</v>
      </c>
      <c r="H584" s="1">
        <v>54</v>
      </c>
    </row>
    <row r="585" spans="1:8" x14ac:dyDescent="0.5">
      <c r="A585" s="1">
        <v>12</v>
      </c>
      <c r="B585" s="1" t="s">
        <v>610</v>
      </c>
      <c r="C585" s="1" t="s">
        <v>611</v>
      </c>
      <c r="D585" s="1">
        <v>287</v>
      </c>
      <c r="E585" s="1">
        <v>3</v>
      </c>
      <c r="F585" s="1">
        <v>290</v>
      </c>
      <c r="G585" s="1">
        <v>0.14000000000000001</v>
      </c>
      <c r="H585" s="1">
        <v>54</v>
      </c>
    </row>
    <row r="586" spans="1:8" x14ac:dyDescent="0.5">
      <c r="A586" s="1">
        <v>13</v>
      </c>
      <c r="B586" s="1" t="s">
        <v>612</v>
      </c>
      <c r="C586" s="1" t="s">
        <v>18</v>
      </c>
      <c r="D586" s="1">
        <v>270</v>
      </c>
      <c r="E586" s="1">
        <v>0</v>
      </c>
      <c r="F586" s="1">
        <v>270</v>
      </c>
      <c r="G586" s="1">
        <v>0.13</v>
      </c>
      <c r="H586" s="1">
        <v>54</v>
      </c>
    </row>
    <row r="587" spans="1:8" x14ac:dyDescent="0.5">
      <c r="A587" s="1">
        <v>14</v>
      </c>
      <c r="B587" s="1" t="s">
        <v>613</v>
      </c>
      <c r="C587" s="1" t="s">
        <v>18</v>
      </c>
      <c r="D587" s="1">
        <v>180</v>
      </c>
      <c r="E587" s="1">
        <v>0</v>
      </c>
      <c r="F587" s="1">
        <v>180</v>
      </c>
      <c r="G587" s="1">
        <v>0.09</v>
      </c>
      <c r="H587" s="1">
        <v>54</v>
      </c>
    </row>
    <row r="588" spans="1:8" x14ac:dyDescent="0.5">
      <c r="A588" s="1">
        <v>15</v>
      </c>
      <c r="B588" s="1" t="s">
        <v>20</v>
      </c>
      <c r="C588" s="1" t="s">
        <v>21</v>
      </c>
      <c r="D588" s="1">
        <v>600</v>
      </c>
      <c r="E588" s="1">
        <v>4</v>
      </c>
      <c r="F588" s="1">
        <v>604</v>
      </c>
      <c r="G588" s="1">
        <v>0.28999999999999998</v>
      </c>
      <c r="H588" s="1">
        <v>54</v>
      </c>
    </row>
    <row r="589" spans="1:8" x14ac:dyDescent="0.5">
      <c r="A589" s="1">
        <v>1</v>
      </c>
      <c r="B589" s="1" t="s">
        <v>614</v>
      </c>
      <c r="C589" s="1" t="s">
        <v>9</v>
      </c>
      <c r="D589" s="1">
        <v>6115</v>
      </c>
      <c r="E589" s="1">
        <v>32</v>
      </c>
      <c r="F589" s="1">
        <v>6147</v>
      </c>
      <c r="G589" s="1">
        <v>4.87</v>
      </c>
      <c r="H589" s="1">
        <v>55</v>
      </c>
    </row>
    <row r="590" spans="1:8" x14ac:dyDescent="0.5">
      <c r="A590" s="1">
        <v>2</v>
      </c>
      <c r="B590" s="1" t="s">
        <v>615</v>
      </c>
      <c r="C590" s="1" t="s">
        <v>12</v>
      </c>
      <c r="D590" s="1">
        <v>57692</v>
      </c>
      <c r="E590" s="1">
        <v>133</v>
      </c>
      <c r="F590" s="1">
        <v>57825</v>
      </c>
      <c r="G590" s="1">
        <v>45.79</v>
      </c>
      <c r="H590" s="1">
        <v>55</v>
      </c>
    </row>
    <row r="591" spans="1:8" x14ac:dyDescent="0.5">
      <c r="A591" s="1">
        <v>3</v>
      </c>
      <c r="B591" s="1" t="s">
        <v>616</v>
      </c>
      <c r="C591" s="1" t="s">
        <v>23</v>
      </c>
      <c r="D591" s="1">
        <v>1309</v>
      </c>
      <c r="E591" s="1">
        <v>13</v>
      </c>
      <c r="F591" s="1">
        <v>1322</v>
      </c>
      <c r="G591" s="1">
        <v>1.05</v>
      </c>
      <c r="H591" s="1">
        <v>55</v>
      </c>
    </row>
    <row r="592" spans="1:8" x14ac:dyDescent="0.5">
      <c r="A592" s="16">
        <v>4</v>
      </c>
      <c r="B592" s="16" t="s">
        <v>617</v>
      </c>
      <c r="C592" s="16" t="s">
        <v>782</v>
      </c>
      <c r="D592" s="16">
        <v>58029</v>
      </c>
      <c r="E592" s="16">
        <v>188</v>
      </c>
      <c r="F592" s="16">
        <v>58217</v>
      </c>
      <c r="G592" s="16">
        <v>46.1</v>
      </c>
      <c r="H592" s="16">
        <v>55</v>
      </c>
    </row>
    <row r="593" spans="1:8" x14ac:dyDescent="0.5">
      <c r="A593" s="1">
        <v>5</v>
      </c>
      <c r="B593" s="1" t="s">
        <v>618</v>
      </c>
      <c r="C593" s="1" t="s">
        <v>16</v>
      </c>
      <c r="D593" s="1">
        <v>1677</v>
      </c>
      <c r="E593" s="1">
        <v>4</v>
      </c>
      <c r="F593" s="1">
        <v>1681</v>
      </c>
      <c r="G593" s="1">
        <v>1.33</v>
      </c>
      <c r="H593" s="1">
        <v>55</v>
      </c>
    </row>
    <row r="594" spans="1:8" x14ac:dyDescent="0.5">
      <c r="A594" s="1">
        <v>6</v>
      </c>
      <c r="B594" s="1" t="s">
        <v>619</v>
      </c>
      <c r="C594" s="1" t="s">
        <v>126</v>
      </c>
      <c r="D594" s="1">
        <v>133</v>
      </c>
      <c r="E594" s="1">
        <v>3</v>
      </c>
      <c r="F594" s="1">
        <v>136</v>
      </c>
      <c r="G594" s="1">
        <v>0.11</v>
      </c>
      <c r="H594" s="1">
        <v>55</v>
      </c>
    </row>
    <row r="595" spans="1:8" x14ac:dyDescent="0.5">
      <c r="A595" s="1">
        <v>7</v>
      </c>
      <c r="B595" s="1" t="s">
        <v>620</v>
      </c>
      <c r="C595" s="1" t="s">
        <v>18</v>
      </c>
      <c r="D595" s="1">
        <v>272</v>
      </c>
      <c r="E595" s="1">
        <v>0</v>
      </c>
      <c r="F595" s="1">
        <v>272</v>
      </c>
      <c r="G595" s="1">
        <v>0.22</v>
      </c>
      <c r="H595" s="1">
        <v>55</v>
      </c>
    </row>
    <row r="596" spans="1:8" x14ac:dyDescent="0.5">
      <c r="A596" s="1">
        <v>8</v>
      </c>
      <c r="B596" s="1" t="s">
        <v>20</v>
      </c>
      <c r="C596" s="1" t="s">
        <v>21</v>
      </c>
      <c r="D596" s="1">
        <v>679</v>
      </c>
      <c r="E596" s="1">
        <v>4</v>
      </c>
      <c r="F596" s="1">
        <v>683</v>
      </c>
      <c r="G596" s="1">
        <v>0.54</v>
      </c>
      <c r="H596" s="1">
        <v>55</v>
      </c>
    </row>
    <row r="597" spans="1:8" x14ac:dyDescent="0.5">
      <c r="A597" s="1">
        <v>1</v>
      </c>
      <c r="B597" s="1" t="s">
        <v>621</v>
      </c>
      <c r="C597" s="1" t="s">
        <v>9</v>
      </c>
      <c r="D597" s="1">
        <v>7173</v>
      </c>
      <c r="E597" s="1">
        <v>57</v>
      </c>
      <c r="F597" s="1">
        <v>7230</v>
      </c>
      <c r="G597" s="1">
        <v>5.62</v>
      </c>
      <c r="H597" s="1">
        <v>56</v>
      </c>
    </row>
    <row r="598" spans="1:8" x14ac:dyDescent="0.5">
      <c r="A598" s="18">
        <v>2</v>
      </c>
      <c r="B598" s="18" t="s">
        <v>622</v>
      </c>
      <c r="C598" s="18" t="s">
        <v>12</v>
      </c>
      <c r="D598" s="18">
        <v>61609</v>
      </c>
      <c r="E598" s="18">
        <v>183</v>
      </c>
      <c r="F598" s="18">
        <v>61792</v>
      </c>
      <c r="G598" s="18">
        <v>48</v>
      </c>
      <c r="H598" s="18">
        <v>56</v>
      </c>
    </row>
    <row r="599" spans="1:8" x14ac:dyDescent="0.5">
      <c r="A599" s="2">
        <v>3</v>
      </c>
      <c r="B599" s="2" t="s">
        <v>623</v>
      </c>
      <c r="C599" s="2" t="s">
        <v>782</v>
      </c>
      <c r="D599" s="2">
        <v>55243</v>
      </c>
      <c r="E599" s="2">
        <v>256</v>
      </c>
      <c r="F599" s="2">
        <v>55499</v>
      </c>
      <c r="G599" s="2">
        <v>43.11</v>
      </c>
      <c r="H599" s="2">
        <v>56</v>
      </c>
    </row>
    <row r="600" spans="1:8" x14ac:dyDescent="0.5">
      <c r="A600" s="1">
        <v>4</v>
      </c>
      <c r="B600" s="1" t="s">
        <v>160</v>
      </c>
      <c r="C600" s="1" t="s">
        <v>23</v>
      </c>
      <c r="D600" s="1">
        <v>2388</v>
      </c>
      <c r="E600" s="1">
        <v>50</v>
      </c>
      <c r="F600" s="1">
        <v>2438</v>
      </c>
      <c r="G600" s="1">
        <v>1.89</v>
      </c>
      <c r="H600" s="1">
        <v>56</v>
      </c>
    </row>
    <row r="601" spans="1:8" x14ac:dyDescent="0.5">
      <c r="A601" s="1">
        <v>5</v>
      </c>
      <c r="B601" s="1" t="s">
        <v>624</v>
      </c>
      <c r="C601" s="1" t="s">
        <v>14</v>
      </c>
      <c r="D601" s="1">
        <v>94</v>
      </c>
      <c r="E601" s="1">
        <v>6</v>
      </c>
      <c r="F601" s="1">
        <v>100</v>
      </c>
      <c r="G601" s="1">
        <v>0.08</v>
      </c>
      <c r="H601" s="1">
        <v>56</v>
      </c>
    </row>
    <row r="602" spans="1:8" x14ac:dyDescent="0.5">
      <c r="A602" s="1">
        <v>6</v>
      </c>
      <c r="B602" s="1" t="s">
        <v>625</v>
      </c>
      <c r="C602" s="1" t="s">
        <v>55</v>
      </c>
      <c r="D602" s="1">
        <v>188</v>
      </c>
      <c r="E602" s="1">
        <v>0</v>
      </c>
      <c r="F602" s="1">
        <v>188</v>
      </c>
      <c r="G602" s="1">
        <v>0.15</v>
      </c>
      <c r="H602" s="1">
        <v>56</v>
      </c>
    </row>
    <row r="603" spans="1:8" x14ac:dyDescent="0.5">
      <c r="A603" s="1">
        <v>7</v>
      </c>
      <c r="B603" s="1" t="s">
        <v>626</v>
      </c>
      <c r="C603" s="1" t="s">
        <v>33</v>
      </c>
      <c r="D603" s="1">
        <v>121</v>
      </c>
      <c r="E603" s="1">
        <v>1</v>
      </c>
      <c r="F603" s="1">
        <v>122</v>
      </c>
      <c r="G603" s="1">
        <v>0.09</v>
      </c>
      <c r="H603" s="1">
        <v>56</v>
      </c>
    </row>
    <row r="604" spans="1:8" x14ac:dyDescent="0.5">
      <c r="A604" s="1">
        <v>8</v>
      </c>
      <c r="B604" s="1" t="s">
        <v>627</v>
      </c>
      <c r="C604" s="1" t="s">
        <v>16</v>
      </c>
      <c r="D604" s="1">
        <v>411</v>
      </c>
      <c r="E604" s="1">
        <v>7</v>
      </c>
      <c r="F604" s="1">
        <v>418</v>
      </c>
      <c r="G604" s="1">
        <v>0.32</v>
      </c>
      <c r="H604" s="1">
        <v>56</v>
      </c>
    </row>
    <row r="605" spans="1:8" x14ac:dyDescent="0.5">
      <c r="A605" s="1">
        <v>9</v>
      </c>
      <c r="B605" s="1" t="s">
        <v>628</v>
      </c>
      <c r="C605" s="1" t="s">
        <v>150</v>
      </c>
      <c r="D605" s="1">
        <v>166</v>
      </c>
      <c r="E605" s="1">
        <v>1</v>
      </c>
      <c r="F605" s="1">
        <v>167</v>
      </c>
      <c r="G605" s="1">
        <v>0.13</v>
      </c>
      <c r="H605" s="1">
        <v>56</v>
      </c>
    </row>
    <row r="606" spans="1:8" x14ac:dyDescent="0.5">
      <c r="A606" s="1">
        <v>10</v>
      </c>
      <c r="B606" s="1" t="s">
        <v>20</v>
      </c>
      <c r="C606" s="1" t="s">
        <v>21</v>
      </c>
      <c r="D606" s="1">
        <v>771</v>
      </c>
      <c r="E606" s="1">
        <v>5</v>
      </c>
      <c r="F606" s="1">
        <v>776</v>
      </c>
      <c r="G606" s="1">
        <v>0.6</v>
      </c>
      <c r="H606" s="1">
        <v>56</v>
      </c>
    </row>
    <row r="607" spans="1:8" x14ac:dyDescent="0.5">
      <c r="A607" s="1">
        <v>1</v>
      </c>
      <c r="B607" s="1" t="s">
        <v>473</v>
      </c>
      <c r="C607" s="1" t="s">
        <v>9</v>
      </c>
      <c r="D607" s="1">
        <v>16454</v>
      </c>
      <c r="E607" s="1">
        <v>95</v>
      </c>
      <c r="F607" s="1">
        <v>16549</v>
      </c>
      <c r="G607" s="1">
        <v>11.94</v>
      </c>
      <c r="H607" s="1">
        <v>57</v>
      </c>
    </row>
    <row r="608" spans="1:8" x14ac:dyDescent="0.5">
      <c r="A608" s="1">
        <v>2</v>
      </c>
      <c r="B608" s="1" t="s">
        <v>629</v>
      </c>
      <c r="C608" s="1" t="s">
        <v>12</v>
      </c>
      <c r="D608" s="1">
        <v>45856</v>
      </c>
      <c r="E608" s="1">
        <v>132</v>
      </c>
      <c r="F608" s="1">
        <v>45988</v>
      </c>
      <c r="G608" s="1">
        <v>33.17</v>
      </c>
      <c r="H608" s="1">
        <v>57</v>
      </c>
    </row>
    <row r="609" spans="1:8" x14ac:dyDescent="0.5">
      <c r="A609" s="1">
        <v>3</v>
      </c>
      <c r="B609" s="1" t="s">
        <v>630</v>
      </c>
      <c r="C609" s="1" t="s">
        <v>23</v>
      </c>
      <c r="D609" s="1">
        <v>747</v>
      </c>
      <c r="E609" s="1">
        <v>9</v>
      </c>
      <c r="F609" s="1">
        <v>756</v>
      </c>
      <c r="G609" s="1">
        <v>0.55000000000000004</v>
      </c>
      <c r="H609" s="1">
        <v>57</v>
      </c>
    </row>
    <row r="610" spans="1:8" x14ac:dyDescent="0.5">
      <c r="A610" s="16">
        <v>4</v>
      </c>
      <c r="B610" s="16" t="s">
        <v>631</v>
      </c>
      <c r="C610" s="16" t="s">
        <v>782</v>
      </c>
      <c r="D610" s="16">
        <v>73696</v>
      </c>
      <c r="E610" s="16">
        <v>364</v>
      </c>
      <c r="F610" s="16">
        <v>74060</v>
      </c>
      <c r="G610" s="16">
        <v>53.41</v>
      </c>
      <c r="H610" s="16">
        <v>57</v>
      </c>
    </row>
    <row r="611" spans="1:8" x14ac:dyDescent="0.5">
      <c r="A611" s="1">
        <v>5</v>
      </c>
      <c r="B611" s="1" t="s">
        <v>632</v>
      </c>
      <c r="C611" s="1" t="s">
        <v>447</v>
      </c>
      <c r="D611" s="1">
        <v>137</v>
      </c>
      <c r="E611" s="1">
        <v>0</v>
      </c>
      <c r="F611" s="1">
        <v>137</v>
      </c>
      <c r="G611" s="1">
        <v>0.1</v>
      </c>
      <c r="H611" s="1">
        <v>57</v>
      </c>
    </row>
    <row r="612" spans="1:8" x14ac:dyDescent="0.5">
      <c r="A612" s="1">
        <v>6</v>
      </c>
      <c r="B612" s="1" t="s">
        <v>633</v>
      </c>
      <c r="C612" s="1" t="s">
        <v>603</v>
      </c>
      <c r="D612" s="1">
        <v>55</v>
      </c>
      <c r="E612" s="1">
        <v>2</v>
      </c>
      <c r="F612" s="1">
        <v>57</v>
      </c>
      <c r="G612" s="1">
        <v>0.04</v>
      </c>
      <c r="H612" s="1">
        <v>57</v>
      </c>
    </row>
    <row r="613" spans="1:8" x14ac:dyDescent="0.5">
      <c r="A613" s="1">
        <v>7</v>
      </c>
      <c r="B613" s="1" t="s">
        <v>634</v>
      </c>
      <c r="C613" s="1" t="s">
        <v>490</v>
      </c>
      <c r="D613" s="1">
        <v>187</v>
      </c>
      <c r="E613" s="1">
        <v>1</v>
      </c>
      <c r="F613" s="1">
        <v>188</v>
      </c>
      <c r="G613" s="1">
        <v>0.14000000000000001</v>
      </c>
      <c r="H613" s="1">
        <v>57</v>
      </c>
    </row>
    <row r="614" spans="1:8" x14ac:dyDescent="0.5">
      <c r="A614" s="1">
        <v>8</v>
      </c>
      <c r="B614" s="1" t="s">
        <v>635</v>
      </c>
      <c r="C614" s="1" t="s">
        <v>18</v>
      </c>
      <c r="D614" s="1">
        <v>108</v>
      </c>
      <c r="E614" s="1">
        <v>0</v>
      </c>
      <c r="F614" s="1">
        <v>108</v>
      </c>
      <c r="G614" s="1">
        <v>0.08</v>
      </c>
      <c r="H614" s="1">
        <v>57</v>
      </c>
    </row>
    <row r="615" spans="1:8" x14ac:dyDescent="0.5">
      <c r="A615" s="1">
        <v>9</v>
      </c>
      <c r="B615" s="1" t="s">
        <v>636</v>
      </c>
      <c r="C615" s="1" t="s">
        <v>18</v>
      </c>
      <c r="D615" s="1">
        <v>114</v>
      </c>
      <c r="E615" s="1">
        <v>3</v>
      </c>
      <c r="F615" s="1">
        <v>117</v>
      </c>
      <c r="G615" s="1">
        <v>0.08</v>
      </c>
      <c r="H615" s="1">
        <v>57</v>
      </c>
    </row>
    <row r="616" spans="1:8" x14ac:dyDescent="0.5">
      <c r="A616" s="1">
        <v>10</v>
      </c>
      <c r="B616" s="1" t="s">
        <v>20</v>
      </c>
      <c r="C616" s="1" t="s">
        <v>21</v>
      </c>
      <c r="D616" s="1">
        <v>688</v>
      </c>
      <c r="E616" s="1">
        <v>4</v>
      </c>
      <c r="F616" s="1">
        <v>692</v>
      </c>
      <c r="G616" s="1">
        <v>0.5</v>
      </c>
      <c r="H616" s="1">
        <v>57</v>
      </c>
    </row>
    <row r="617" spans="1:8" x14ac:dyDescent="0.5">
      <c r="A617" s="16">
        <v>1</v>
      </c>
      <c r="B617" s="16" t="s">
        <v>637</v>
      </c>
      <c r="C617" s="16" t="s">
        <v>782</v>
      </c>
      <c r="D617" s="16">
        <v>65560</v>
      </c>
      <c r="E617" s="16">
        <v>298</v>
      </c>
      <c r="F617" s="16">
        <v>65858</v>
      </c>
      <c r="G617" s="16">
        <v>52.11</v>
      </c>
      <c r="H617" s="16">
        <v>58</v>
      </c>
    </row>
    <row r="618" spans="1:8" x14ac:dyDescent="0.5">
      <c r="A618" s="1">
        <v>2</v>
      </c>
      <c r="B618" s="1" t="s">
        <v>638</v>
      </c>
      <c r="C618" s="1" t="s">
        <v>12</v>
      </c>
      <c r="D618" s="1">
        <v>54148</v>
      </c>
      <c r="E618" s="1">
        <v>168</v>
      </c>
      <c r="F618" s="1">
        <v>54316</v>
      </c>
      <c r="G618" s="1">
        <v>42.98</v>
      </c>
      <c r="H618" s="1">
        <v>58</v>
      </c>
    </row>
    <row r="619" spans="1:8" x14ac:dyDescent="0.5">
      <c r="A619" s="1">
        <v>3</v>
      </c>
      <c r="B619" s="1" t="s">
        <v>639</v>
      </c>
      <c r="C619" s="1" t="s">
        <v>23</v>
      </c>
      <c r="D619" s="1">
        <v>382</v>
      </c>
      <c r="E619" s="1">
        <v>6</v>
      </c>
      <c r="F619" s="1">
        <v>388</v>
      </c>
      <c r="G619" s="1">
        <v>0.31</v>
      </c>
      <c r="H619" s="1">
        <v>58</v>
      </c>
    </row>
    <row r="620" spans="1:8" x14ac:dyDescent="0.5">
      <c r="A620" s="1">
        <v>4</v>
      </c>
      <c r="B620" s="1" t="s">
        <v>640</v>
      </c>
      <c r="C620" s="1" t="s">
        <v>9</v>
      </c>
      <c r="D620" s="1">
        <v>4277</v>
      </c>
      <c r="E620" s="1">
        <v>39</v>
      </c>
      <c r="F620" s="1">
        <v>4316</v>
      </c>
      <c r="G620" s="1">
        <v>3.42</v>
      </c>
      <c r="H620" s="1">
        <v>58</v>
      </c>
    </row>
    <row r="621" spans="1:8" x14ac:dyDescent="0.5">
      <c r="A621" s="1">
        <v>5</v>
      </c>
      <c r="B621" s="1" t="s">
        <v>641</v>
      </c>
      <c r="C621" s="1" t="s">
        <v>33</v>
      </c>
      <c r="D621" s="1">
        <v>45</v>
      </c>
      <c r="E621" s="1">
        <v>0</v>
      </c>
      <c r="F621" s="1">
        <v>45</v>
      </c>
      <c r="G621" s="1">
        <v>0.04</v>
      </c>
      <c r="H621" s="1">
        <v>58</v>
      </c>
    </row>
    <row r="622" spans="1:8" x14ac:dyDescent="0.5">
      <c r="A622" s="1">
        <v>6</v>
      </c>
      <c r="B622" s="1" t="s">
        <v>642</v>
      </c>
      <c r="C622" s="1" t="s">
        <v>643</v>
      </c>
      <c r="D622" s="1">
        <v>32</v>
      </c>
      <c r="E622" s="1">
        <v>0</v>
      </c>
      <c r="F622" s="1">
        <v>32</v>
      </c>
      <c r="G622" s="1">
        <v>0.03</v>
      </c>
      <c r="H622" s="1">
        <v>58</v>
      </c>
    </row>
    <row r="623" spans="1:8" x14ac:dyDescent="0.5">
      <c r="A623" s="1">
        <v>7</v>
      </c>
      <c r="B623" s="1" t="s">
        <v>644</v>
      </c>
      <c r="C623" s="1" t="s">
        <v>60</v>
      </c>
      <c r="D623" s="1">
        <v>44</v>
      </c>
      <c r="E623" s="1">
        <v>2</v>
      </c>
      <c r="F623" s="1">
        <v>46</v>
      </c>
      <c r="G623" s="1">
        <v>0.04</v>
      </c>
      <c r="H623" s="1">
        <v>58</v>
      </c>
    </row>
    <row r="624" spans="1:8" x14ac:dyDescent="0.5">
      <c r="A624" s="1">
        <v>8</v>
      </c>
      <c r="B624" s="1" t="s">
        <v>645</v>
      </c>
      <c r="C624" s="1" t="s">
        <v>16</v>
      </c>
      <c r="D624" s="1">
        <v>172</v>
      </c>
      <c r="E624" s="1">
        <v>1</v>
      </c>
      <c r="F624" s="1">
        <v>173</v>
      </c>
      <c r="G624" s="1">
        <v>0.14000000000000001</v>
      </c>
      <c r="H624" s="1">
        <v>58</v>
      </c>
    </row>
    <row r="625" spans="1:8" x14ac:dyDescent="0.5">
      <c r="A625" s="1">
        <v>9</v>
      </c>
      <c r="B625" s="1" t="s">
        <v>646</v>
      </c>
      <c r="C625" s="1" t="s">
        <v>647</v>
      </c>
      <c r="D625" s="1">
        <v>41</v>
      </c>
      <c r="E625" s="1">
        <v>0</v>
      </c>
      <c r="F625" s="1">
        <v>41</v>
      </c>
      <c r="G625" s="1">
        <v>0.03</v>
      </c>
      <c r="H625" s="1">
        <v>58</v>
      </c>
    </row>
    <row r="626" spans="1:8" x14ac:dyDescent="0.5">
      <c r="A626" s="1">
        <v>10</v>
      </c>
      <c r="B626" s="1" t="s">
        <v>648</v>
      </c>
      <c r="C626" s="1" t="s">
        <v>649</v>
      </c>
      <c r="D626" s="1">
        <v>107</v>
      </c>
      <c r="E626" s="1">
        <v>0</v>
      </c>
      <c r="F626" s="1">
        <v>107</v>
      </c>
      <c r="G626" s="1">
        <v>0.08</v>
      </c>
      <c r="H626" s="1">
        <v>58</v>
      </c>
    </row>
    <row r="627" spans="1:8" x14ac:dyDescent="0.5">
      <c r="A627" s="1">
        <v>11</v>
      </c>
      <c r="B627" s="1" t="s">
        <v>650</v>
      </c>
      <c r="C627" s="1" t="s">
        <v>39</v>
      </c>
      <c r="D627" s="1">
        <v>48</v>
      </c>
      <c r="E627" s="1">
        <v>0</v>
      </c>
      <c r="F627" s="1">
        <v>48</v>
      </c>
      <c r="G627" s="1">
        <v>0.04</v>
      </c>
      <c r="H627" s="1">
        <v>58</v>
      </c>
    </row>
    <row r="628" spans="1:8" x14ac:dyDescent="0.5">
      <c r="A628" s="1">
        <v>12</v>
      </c>
      <c r="B628" s="1" t="s">
        <v>651</v>
      </c>
      <c r="C628" s="1" t="s">
        <v>652</v>
      </c>
      <c r="D628" s="1">
        <v>133</v>
      </c>
      <c r="E628" s="1">
        <v>2</v>
      </c>
      <c r="F628" s="1">
        <v>135</v>
      </c>
      <c r="G628" s="1">
        <v>0.11</v>
      </c>
      <c r="H628" s="1">
        <v>58</v>
      </c>
    </row>
    <row r="629" spans="1:8" x14ac:dyDescent="0.5">
      <c r="A629" s="1">
        <v>13</v>
      </c>
      <c r="B629" s="1" t="s">
        <v>653</v>
      </c>
      <c r="C629" s="1" t="s">
        <v>18</v>
      </c>
      <c r="D629" s="1">
        <v>48</v>
      </c>
      <c r="E629" s="1">
        <v>0</v>
      </c>
      <c r="F629" s="1">
        <v>48</v>
      </c>
      <c r="G629" s="1">
        <v>0.04</v>
      </c>
      <c r="H629" s="1">
        <v>58</v>
      </c>
    </row>
    <row r="630" spans="1:8" x14ac:dyDescent="0.5">
      <c r="A630" s="1">
        <v>14</v>
      </c>
      <c r="B630" s="1" t="s">
        <v>654</v>
      </c>
      <c r="C630" s="1" t="s">
        <v>18</v>
      </c>
      <c r="D630" s="1">
        <v>74</v>
      </c>
      <c r="E630" s="1">
        <v>0</v>
      </c>
      <c r="F630" s="1">
        <v>74</v>
      </c>
      <c r="G630" s="1">
        <v>0.06</v>
      </c>
      <c r="H630" s="1">
        <v>58</v>
      </c>
    </row>
    <row r="631" spans="1:8" x14ac:dyDescent="0.5">
      <c r="A631" s="1">
        <v>15</v>
      </c>
      <c r="B631" s="1" t="s">
        <v>655</v>
      </c>
      <c r="C631" s="1" t="s">
        <v>18</v>
      </c>
      <c r="D631" s="1">
        <v>69</v>
      </c>
      <c r="E631" s="1">
        <v>0</v>
      </c>
      <c r="F631" s="1">
        <v>69</v>
      </c>
      <c r="G631" s="1">
        <v>0.05</v>
      </c>
      <c r="H631" s="1">
        <v>58</v>
      </c>
    </row>
    <row r="632" spans="1:8" x14ac:dyDescent="0.5">
      <c r="A632" s="1">
        <v>16</v>
      </c>
      <c r="B632" s="1" t="s">
        <v>20</v>
      </c>
      <c r="C632" s="1" t="s">
        <v>21</v>
      </c>
      <c r="D632" s="1">
        <v>680</v>
      </c>
      <c r="E632" s="1">
        <v>6</v>
      </c>
      <c r="F632" s="1">
        <v>686</v>
      </c>
      <c r="G632" s="1">
        <v>0.54</v>
      </c>
      <c r="H632" s="1">
        <v>58</v>
      </c>
    </row>
    <row r="633" spans="1:8" x14ac:dyDescent="0.5">
      <c r="A633" s="16">
        <v>1</v>
      </c>
      <c r="B633" s="16" t="s">
        <v>656</v>
      </c>
      <c r="C633" s="16" t="s">
        <v>782</v>
      </c>
      <c r="D633" s="16">
        <v>71672</v>
      </c>
      <c r="E633" s="16">
        <v>469</v>
      </c>
      <c r="F633" s="16">
        <v>72141</v>
      </c>
      <c r="G633" s="16">
        <v>57.7</v>
      </c>
      <c r="H633" s="16">
        <v>59</v>
      </c>
    </row>
    <row r="634" spans="1:8" x14ac:dyDescent="0.5">
      <c r="A634" s="1">
        <v>2</v>
      </c>
      <c r="B634" s="1" t="s">
        <v>657</v>
      </c>
      <c r="C634" s="1" t="s">
        <v>12</v>
      </c>
      <c r="D634" s="1">
        <v>46955</v>
      </c>
      <c r="E634" s="1">
        <v>144</v>
      </c>
      <c r="F634" s="1">
        <v>47099</v>
      </c>
      <c r="G634" s="1">
        <v>37.67</v>
      </c>
      <c r="H634" s="1">
        <v>59</v>
      </c>
    </row>
    <row r="635" spans="1:8" x14ac:dyDescent="0.5">
      <c r="A635" s="1">
        <v>3</v>
      </c>
      <c r="B635" s="1" t="s">
        <v>658</v>
      </c>
      <c r="C635" s="1" t="s">
        <v>9</v>
      </c>
      <c r="D635" s="1">
        <v>3576</v>
      </c>
      <c r="E635" s="1">
        <v>51</v>
      </c>
      <c r="F635" s="1">
        <v>3627</v>
      </c>
      <c r="G635" s="1">
        <v>2.9</v>
      </c>
      <c r="H635" s="1">
        <v>59</v>
      </c>
    </row>
    <row r="636" spans="1:8" x14ac:dyDescent="0.5">
      <c r="A636" s="1">
        <v>4</v>
      </c>
      <c r="B636" s="1" t="s">
        <v>659</v>
      </c>
      <c r="C636" s="1" t="s">
        <v>23</v>
      </c>
      <c r="D636" s="1">
        <v>436</v>
      </c>
      <c r="E636" s="1">
        <v>7</v>
      </c>
      <c r="F636" s="1">
        <v>443</v>
      </c>
      <c r="G636" s="1">
        <v>0.35</v>
      </c>
      <c r="H636" s="1">
        <v>59</v>
      </c>
    </row>
    <row r="637" spans="1:8" x14ac:dyDescent="0.5">
      <c r="A637" s="1">
        <v>5</v>
      </c>
      <c r="B637" s="1" t="s">
        <v>473</v>
      </c>
      <c r="C637" s="1" t="s">
        <v>76</v>
      </c>
      <c r="D637" s="1">
        <v>47</v>
      </c>
      <c r="E637" s="1">
        <v>0</v>
      </c>
      <c r="F637" s="1">
        <v>47</v>
      </c>
      <c r="G637" s="1">
        <v>0.04</v>
      </c>
      <c r="H637" s="1">
        <v>59</v>
      </c>
    </row>
    <row r="638" spans="1:8" x14ac:dyDescent="0.5">
      <c r="A638" s="1">
        <v>6</v>
      </c>
      <c r="B638" s="1" t="s">
        <v>660</v>
      </c>
      <c r="C638" s="1" t="s">
        <v>108</v>
      </c>
      <c r="D638" s="1">
        <v>161</v>
      </c>
      <c r="E638" s="1">
        <v>0</v>
      </c>
      <c r="F638" s="1">
        <v>161</v>
      </c>
      <c r="G638" s="1">
        <v>0.13</v>
      </c>
      <c r="H638" s="1">
        <v>59</v>
      </c>
    </row>
    <row r="639" spans="1:8" x14ac:dyDescent="0.5">
      <c r="A639" s="1">
        <v>7</v>
      </c>
      <c r="B639" s="1" t="s">
        <v>157</v>
      </c>
      <c r="C639" s="1" t="s">
        <v>661</v>
      </c>
      <c r="D639" s="1">
        <v>47</v>
      </c>
      <c r="E639" s="1">
        <v>2</v>
      </c>
      <c r="F639" s="1">
        <v>49</v>
      </c>
      <c r="G639" s="1">
        <v>0.04</v>
      </c>
      <c r="H639" s="1">
        <v>59</v>
      </c>
    </row>
    <row r="640" spans="1:8" x14ac:dyDescent="0.5">
      <c r="A640" s="1">
        <v>8</v>
      </c>
      <c r="B640" s="1" t="s">
        <v>662</v>
      </c>
      <c r="C640" s="1" t="s">
        <v>60</v>
      </c>
      <c r="D640" s="1">
        <v>49</v>
      </c>
      <c r="E640" s="1">
        <v>0</v>
      </c>
      <c r="F640" s="1">
        <v>49</v>
      </c>
      <c r="G640" s="1">
        <v>0.04</v>
      </c>
      <c r="H640" s="1">
        <v>59</v>
      </c>
    </row>
    <row r="641" spans="1:8" x14ac:dyDescent="0.5">
      <c r="A641" s="1">
        <v>9</v>
      </c>
      <c r="B641" s="1" t="s">
        <v>663</v>
      </c>
      <c r="C641" s="1" t="s">
        <v>264</v>
      </c>
      <c r="D641" s="1">
        <v>142</v>
      </c>
      <c r="E641" s="1">
        <v>0</v>
      </c>
      <c r="F641" s="1">
        <v>142</v>
      </c>
      <c r="G641" s="1">
        <v>0.11</v>
      </c>
      <c r="H641" s="1">
        <v>59</v>
      </c>
    </row>
    <row r="642" spans="1:8" x14ac:dyDescent="0.5">
      <c r="A642" s="1">
        <v>10</v>
      </c>
      <c r="B642" s="1" t="s">
        <v>664</v>
      </c>
      <c r="C642" s="1" t="s">
        <v>567</v>
      </c>
      <c r="D642" s="1">
        <v>217</v>
      </c>
      <c r="E642" s="1">
        <v>0</v>
      </c>
      <c r="F642" s="1">
        <v>217</v>
      </c>
      <c r="G642" s="1">
        <v>0.17</v>
      </c>
      <c r="H642" s="1">
        <v>59</v>
      </c>
    </row>
    <row r="643" spans="1:8" x14ac:dyDescent="0.5">
      <c r="A643" s="1">
        <v>11</v>
      </c>
      <c r="B643" s="1" t="s">
        <v>20</v>
      </c>
      <c r="C643" s="1" t="s">
        <v>21</v>
      </c>
      <c r="D643" s="1">
        <v>1042</v>
      </c>
      <c r="E643" s="1">
        <v>5</v>
      </c>
      <c r="F643" s="1">
        <v>1047</v>
      </c>
      <c r="G643" s="1">
        <v>0.84</v>
      </c>
      <c r="H643" s="1">
        <v>59</v>
      </c>
    </row>
    <row r="644" spans="1:8" x14ac:dyDescent="0.5">
      <c r="A644" s="16">
        <v>1</v>
      </c>
      <c r="B644" s="16" t="s">
        <v>665</v>
      </c>
      <c r="C644" s="16" t="s">
        <v>782</v>
      </c>
      <c r="D644" s="16">
        <v>75623</v>
      </c>
      <c r="E644" s="16">
        <v>299</v>
      </c>
      <c r="F644" s="16">
        <v>75922</v>
      </c>
      <c r="G644" s="16">
        <v>52.94</v>
      </c>
      <c r="H644" s="16">
        <v>60</v>
      </c>
    </row>
    <row r="645" spans="1:8" x14ac:dyDescent="0.5">
      <c r="A645" s="1">
        <v>2</v>
      </c>
      <c r="B645" s="1" t="s">
        <v>666</v>
      </c>
      <c r="C645" s="1" t="s">
        <v>23</v>
      </c>
      <c r="D645" s="1">
        <v>544</v>
      </c>
      <c r="E645" s="1">
        <v>8</v>
      </c>
      <c r="F645" s="1">
        <v>552</v>
      </c>
      <c r="G645" s="1">
        <v>0.38</v>
      </c>
      <c r="H645" s="1">
        <v>60</v>
      </c>
    </row>
    <row r="646" spans="1:8" x14ac:dyDescent="0.5">
      <c r="A646" s="1">
        <v>3</v>
      </c>
      <c r="B646" s="1" t="s">
        <v>667</v>
      </c>
      <c r="C646" s="1" t="s">
        <v>9</v>
      </c>
      <c r="D646" s="1">
        <v>9356</v>
      </c>
      <c r="E646" s="1">
        <v>37</v>
      </c>
      <c r="F646" s="1">
        <v>9393</v>
      </c>
      <c r="G646" s="1">
        <v>6.55</v>
      </c>
      <c r="H646" s="1">
        <v>60</v>
      </c>
    </row>
    <row r="647" spans="1:8" x14ac:dyDescent="0.5">
      <c r="A647" s="1">
        <v>4</v>
      </c>
      <c r="B647" s="1" t="s">
        <v>668</v>
      </c>
      <c r="C647" s="1" t="s">
        <v>12</v>
      </c>
      <c r="D647" s="1">
        <v>56332</v>
      </c>
      <c r="E647" s="1">
        <v>92</v>
      </c>
      <c r="F647" s="1">
        <v>56424</v>
      </c>
      <c r="G647" s="1">
        <v>39.35</v>
      </c>
      <c r="H647" s="1">
        <v>60</v>
      </c>
    </row>
    <row r="648" spans="1:8" x14ac:dyDescent="0.5">
      <c r="A648" s="1">
        <v>5</v>
      </c>
      <c r="B648" s="1" t="s">
        <v>669</v>
      </c>
      <c r="C648" s="1" t="s">
        <v>76</v>
      </c>
      <c r="D648" s="1">
        <v>131</v>
      </c>
      <c r="E648" s="1">
        <v>0</v>
      </c>
      <c r="F648" s="1">
        <v>131</v>
      </c>
      <c r="G648" s="1">
        <v>0.09</v>
      </c>
      <c r="H648" s="1">
        <v>60</v>
      </c>
    </row>
    <row r="649" spans="1:8" x14ac:dyDescent="0.5">
      <c r="A649" s="1">
        <v>6</v>
      </c>
      <c r="B649" s="1" t="s">
        <v>670</v>
      </c>
      <c r="C649" s="1" t="s">
        <v>671</v>
      </c>
      <c r="D649" s="1">
        <v>96</v>
      </c>
      <c r="E649" s="1">
        <v>0</v>
      </c>
      <c r="F649" s="1">
        <v>96</v>
      </c>
      <c r="G649" s="1">
        <v>7.0000000000000007E-2</v>
      </c>
      <c r="H649" s="1">
        <v>60</v>
      </c>
    </row>
    <row r="650" spans="1:8" x14ac:dyDescent="0.5">
      <c r="A650" s="1">
        <v>7</v>
      </c>
      <c r="B650" s="1" t="s">
        <v>672</v>
      </c>
      <c r="C650" s="1" t="s">
        <v>18</v>
      </c>
      <c r="D650" s="1">
        <v>191</v>
      </c>
      <c r="E650" s="1">
        <v>0</v>
      </c>
      <c r="F650" s="1">
        <v>191</v>
      </c>
      <c r="G650" s="1">
        <v>0.13</v>
      </c>
      <c r="H650" s="1">
        <v>60</v>
      </c>
    </row>
    <row r="651" spans="1:8" x14ac:dyDescent="0.5">
      <c r="A651" s="1">
        <v>8</v>
      </c>
      <c r="B651" s="1" t="s">
        <v>20</v>
      </c>
      <c r="C651" s="1" t="s">
        <v>21</v>
      </c>
      <c r="D651" s="1">
        <v>687</v>
      </c>
      <c r="E651" s="1">
        <v>9</v>
      </c>
      <c r="F651" s="1">
        <v>696</v>
      </c>
      <c r="G651" s="1">
        <v>0.49</v>
      </c>
      <c r="H651" s="1">
        <v>60</v>
      </c>
    </row>
    <row r="652" spans="1:8" x14ac:dyDescent="0.5">
      <c r="A652" s="16">
        <v>1</v>
      </c>
      <c r="B652" s="16" t="s">
        <v>673</v>
      </c>
      <c r="C652" s="16" t="s">
        <v>782</v>
      </c>
      <c r="D652" s="16">
        <v>56665</v>
      </c>
      <c r="E652" s="16">
        <v>193</v>
      </c>
      <c r="F652" s="16">
        <v>56858</v>
      </c>
      <c r="G652" s="16">
        <v>53.94</v>
      </c>
      <c r="H652" s="16">
        <v>61</v>
      </c>
    </row>
    <row r="653" spans="1:8" x14ac:dyDescent="0.5">
      <c r="A653" s="1">
        <v>2</v>
      </c>
      <c r="B653" s="1" t="s">
        <v>674</v>
      </c>
      <c r="C653" s="1" t="s">
        <v>9</v>
      </c>
      <c r="D653" s="1">
        <v>3433</v>
      </c>
      <c r="E653" s="1">
        <v>20</v>
      </c>
      <c r="F653" s="1">
        <v>3453</v>
      </c>
      <c r="G653" s="1">
        <v>3.28</v>
      </c>
      <c r="H653" s="1">
        <v>61</v>
      </c>
    </row>
    <row r="654" spans="1:8" x14ac:dyDescent="0.5">
      <c r="A654" s="1">
        <v>3</v>
      </c>
      <c r="B654" s="1" t="s">
        <v>675</v>
      </c>
      <c r="C654" s="1" t="s">
        <v>23</v>
      </c>
      <c r="D654" s="1">
        <v>235</v>
      </c>
      <c r="E654" s="1">
        <v>0</v>
      </c>
      <c r="F654" s="1">
        <v>235</v>
      </c>
      <c r="G654" s="1">
        <v>0.22</v>
      </c>
      <c r="H654" s="1">
        <v>61</v>
      </c>
    </row>
    <row r="655" spans="1:8" x14ac:dyDescent="0.5">
      <c r="A655" s="1">
        <v>4</v>
      </c>
      <c r="B655" s="1" t="s">
        <v>676</v>
      </c>
      <c r="C655" s="1" t="s">
        <v>12</v>
      </c>
      <c r="D655" s="1">
        <v>44059</v>
      </c>
      <c r="E655" s="1">
        <v>51</v>
      </c>
      <c r="F655" s="1">
        <v>44110</v>
      </c>
      <c r="G655" s="1">
        <v>41.85</v>
      </c>
      <c r="H655" s="1">
        <v>61</v>
      </c>
    </row>
    <row r="656" spans="1:8" x14ac:dyDescent="0.5">
      <c r="A656" s="1">
        <v>5</v>
      </c>
      <c r="B656" s="1" t="s">
        <v>677</v>
      </c>
      <c r="C656" s="1" t="s">
        <v>453</v>
      </c>
      <c r="D656" s="1">
        <v>190</v>
      </c>
      <c r="E656" s="1">
        <v>0</v>
      </c>
      <c r="F656" s="1">
        <v>190</v>
      </c>
      <c r="G656" s="1">
        <v>0.18</v>
      </c>
      <c r="H656" s="1">
        <v>61</v>
      </c>
    </row>
    <row r="657" spans="1:8" x14ac:dyDescent="0.5">
      <c r="A657" s="1">
        <v>6</v>
      </c>
      <c r="B657" s="1" t="s">
        <v>678</v>
      </c>
      <c r="C657" s="1" t="s">
        <v>18</v>
      </c>
      <c r="D657" s="1">
        <v>156</v>
      </c>
      <c r="E657" s="1">
        <v>0</v>
      </c>
      <c r="F657" s="1">
        <v>156</v>
      </c>
      <c r="G657" s="1">
        <v>0.15</v>
      </c>
      <c r="H657" s="1">
        <v>61</v>
      </c>
    </row>
    <row r="658" spans="1:8" x14ac:dyDescent="0.5">
      <c r="A658" s="1">
        <v>7</v>
      </c>
      <c r="B658" s="1" t="s">
        <v>20</v>
      </c>
      <c r="C658" s="1" t="s">
        <v>21</v>
      </c>
      <c r="D658" s="1">
        <v>402</v>
      </c>
      <c r="E658" s="1">
        <v>0</v>
      </c>
      <c r="F658" s="1">
        <v>402</v>
      </c>
      <c r="G658" s="1">
        <v>0.38</v>
      </c>
      <c r="H658" s="1">
        <v>61</v>
      </c>
    </row>
    <row r="659" spans="1:8" x14ac:dyDescent="0.5">
      <c r="A659" s="1">
        <v>1</v>
      </c>
      <c r="B659" s="1" t="s">
        <v>679</v>
      </c>
      <c r="C659" s="1" t="s">
        <v>9</v>
      </c>
      <c r="D659" s="1">
        <v>3834</v>
      </c>
      <c r="E659" s="1">
        <v>28</v>
      </c>
      <c r="F659" s="1">
        <v>3862</v>
      </c>
      <c r="G659" s="1">
        <v>3.05</v>
      </c>
      <c r="H659" s="1">
        <v>62</v>
      </c>
    </row>
    <row r="660" spans="1:8" x14ac:dyDescent="0.5">
      <c r="A660" s="1">
        <v>2</v>
      </c>
      <c r="B660" s="1" t="s">
        <v>680</v>
      </c>
      <c r="C660" s="1" t="s">
        <v>12</v>
      </c>
      <c r="D660" s="1">
        <v>57449</v>
      </c>
      <c r="E660" s="1">
        <v>161</v>
      </c>
      <c r="F660" s="1">
        <v>57610</v>
      </c>
      <c r="G660" s="1">
        <v>45.54</v>
      </c>
      <c r="H660" s="1">
        <v>62</v>
      </c>
    </row>
    <row r="661" spans="1:8" x14ac:dyDescent="0.5">
      <c r="A661" s="1">
        <v>3</v>
      </c>
      <c r="B661" s="1" t="s">
        <v>681</v>
      </c>
      <c r="C661" s="1" t="s">
        <v>23</v>
      </c>
      <c r="D661" s="1">
        <v>586</v>
      </c>
      <c r="E661" s="1">
        <v>10</v>
      </c>
      <c r="F661" s="1">
        <v>596</v>
      </c>
      <c r="G661" s="1">
        <v>0.47</v>
      </c>
      <c r="H661" s="1">
        <v>62</v>
      </c>
    </row>
    <row r="662" spans="1:8" x14ac:dyDescent="0.5">
      <c r="A662" s="16">
        <v>4</v>
      </c>
      <c r="B662" s="16" t="s">
        <v>682</v>
      </c>
      <c r="C662" s="16" t="s">
        <v>782</v>
      </c>
      <c r="D662" s="16">
        <v>62477</v>
      </c>
      <c r="E662" s="16">
        <v>311</v>
      </c>
      <c r="F662" s="16">
        <v>62788</v>
      </c>
      <c r="G662" s="16">
        <v>49.63</v>
      </c>
      <c r="H662" s="16">
        <v>62</v>
      </c>
    </row>
    <row r="663" spans="1:8" x14ac:dyDescent="0.5">
      <c r="A663" s="1">
        <v>5</v>
      </c>
      <c r="B663" s="1" t="s">
        <v>683</v>
      </c>
      <c r="C663" s="1" t="s">
        <v>76</v>
      </c>
      <c r="D663" s="1">
        <v>145</v>
      </c>
      <c r="E663" s="1">
        <v>0</v>
      </c>
      <c r="F663" s="1">
        <v>145</v>
      </c>
      <c r="G663" s="1">
        <v>0.11</v>
      </c>
      <c r="H663" s="1">
        <v>62</v>
      </c>
    </row>
    <row r="664" spans="1:8" x14ac:dyDescent="0.5">
      <c r="A664" s="1">
        <v>6</v>
      </c>
      <c r="B664" s="1" t="s">
        <v>684</v>
      </c>
      <c r="C664" s="1" t="s">
        <v>264</v>
      </c>
      <c r="D664" s="1">
        <v>181</v>
      </c>
      <c r="E664" s="1">
        <v>1</v>
      </c>
      <c r="F664" s="1">
        <v>182</v>
      </c>
      <c r="G664" s="1">
        <v>0.14000000000000001</v>
      </c>
      <c r="H664" s="1">
        <v>62</v>
      </c>
    </row>
    <row r="665" spans="1:8" x14ac:dyDescent="0.5">
      <c r="A665" s="1">
        <v>7</v>
      </c>
      <c r="B665" s="1" t="s">
        <v>685</v>
      </c>
      <c r="C665" s="1" t="s">
        <v>39</v>
      </c>
      <c r="D665" s="1">
        <v>58</v>
      </c>
      <c r="E665" s="1">
        <v>0</v>
      </c>
      <c r="F665" s="1">
        <v>58</v>
      </c>
      <c r="G665" s="1">
        <v>0.05</v>
      </c>
      <c r="H665" s="1">
        <v>62</v>
      </c>
    </row>
    <row r="666" spans="1:8" x14ac:dyDescent="0.5">
      <c r="A666" s="1">
        <v>8</v>
      </c>
      <c r="B666" s="1" t="s">
        <v>686</v>
      </c>
      <c r="C666" s="1" t="s">
        <v>18</v>
      </c>
      <c r="D666" s="1">
        <v>87</v>
      </c>
      <c r="E666" s="1">
        <v>0</v>
      </c>
      <c r="F666" s="1">
        <v>87</v>
      </c>
      <c r="G666" s="1">
        <v>7.0000000000000007E-2</v>
      </c>
      <c r="H666" s="1">
        <v>62</v>
      </c>
    </row>
    <row r="667" spans="1:8" x14ac:dyDescent="0.5">
      <c r="A667" s="1">
        <v>9</v>
      </c>
      <c r="B667" s="1" t="s">
        <v>687</v>
      </c>
      <c r="C667" s="1" t="s">
        <v>18</v>
      </c>
      <c r="D667" s="1">
        <v>52</v>
      </c>
      <c r="E667" s="1">
        <v>0</v>
      </c>
      <c r="F667" s="1">
        <v>52</v>
      </c>
      <c r="G667" s="1">
        <v>0.04</v>
      </c>
      <c r="H667" s="1">
        <v>62</v>
      </c>
    </row>
    <row r="668" spans="1:8" x14ac:dyDescent="0.5">
      <c r="A668" s="1">
        <v>10</v>
      </c>
      <c r="B668" s="1" t="s">
        <v>688</v>
      </c>
      <c r="C668" s="1" t="s">
        <v>18</v>
      </c>
      <c r="D668" s="1">
        <v>577</v>
      </c>
      <c r="E668" s="1">
        <v>2</v>
      </c>
      <c r="F668" s="1">
        <v>579</v>
      </c>
      <c r="G668" s="1">
        <v>0.46</v>
      </c>
      <c r="H668" s="1">
        <v>62</v>
      </c>
    </row>
    <row r="669" spans="1:8" x14ac:dyDescent="0.5">
      <c r="A669" s="1">
        <v>11</v>
      </c>
      <c r="B669" s="1" t="s">
        <v>20</v>
      </c>
      <c r="C669" s="1" t="s">
        <v>21</v>
      </c>
      <c r="D669" s="1">
        <v>555</v>
      </c>
      <c r="E669" s="1">
        <v>3</v>
      </c>
      <c r="F669" s="1">
        <v>558</v>
      </c>
      <c r="G669" s="1">
        <v>0.44</v>
      </c>
      <c r="H669" s="1">
        <v>62</v>
      </c>
    </row>
    <row r="670" spans="1:8" x14ac:dyDescent="0.5">
      <c r="A670" s="1">
        <v>1</v>
      </c>
      <c r="B670" s="1" t="s">
        <v>689</v>
      </c>
      <c r="C670" s="1" t="s">
        <v>23</v>
      </c>
      <c r="D670" s="1">
        <v>855</v>
      </c>
      <c r="E670" s="1">
        <v>12</v>
      </c>
      <c r="F670" s="1">
        <v>867</v>
      </c>
      <c r="G670" s="1">
        <v>0.63</v>
      </c>
      <c r="H670" s="1">
        <v>63</v>
      </c>
    </row>
    <row r="671" spans="1:8" x14ac:dyDescent="0.5">
      <c r="A671" s="1">
        <v>2</v>
      </c>
      <c r="B671" s="1" t="s">
        <v>690</v>
      </c>
      <c r="C671" s="1" t="s">
        <v>9</v>
      </c>
      <c r="D671" s="1">
        <v>11788</v>
      </c>
      <c r="E671" s="1">
        <v>35</v>
      </c>
      <c r="F671" s="1">
        <v>11823</v>
      </c>
      <c r="G671" s="1">
        <v>8.6300000000000008</v>
      </c>
      <c r="H671" s="1">
        <v>63</v>
      </c>
    </row>
    <row r="672" spans="1:8" x14ac:dyDescent="0.5">
      <c r="A672" s="2">
        <v>3</v>
      </c>
      <c r="B672" s="2" t="s">
        <v>691</v>
      </c>
      <c r="C672" s="2" t="s">
        <v>782</v>
      </c>
      <c r="D672" s="2">
        <v>55766</v>
      </c>
      <c r="E672" s="2">
        <v>219</v>
      </c>
      <c r="F672" s="2">
        <v>55985</v>
      </c>
      <c r="G672" s="2">
        <v>40.880000000000003</v>
      </c>
      <c r="H672" s="2">
        <v>63</v>
      </c>
    </row>
    <row r="673" spans="1:8" x14ac:dyDescent="0.5">
      <c r="A673" s="18">
        <v>4</v>
      </c>
      <c r="B673" s="18" t="s">
        <v>692</v>
      </c>
      <c r="C673" s="18" t="s">
        <v>12</v>
      </c>
      <c r="D673" s="18">
        <v>66186</v>
      </c>
      <c r="E673" s="18">
        <v>167</v>
      </c>
      <c r="F673" s="18">
        <v>66353</v>
      </c>
      <c r="G673" s="18">
        <v>48.45</v>
      </c>
      <c r="H673" s="18">
        <v>63</v>
      </c>
    </row>
    <row r="674" spans="1:8" x14ac:dyDescent="0.5">
      <c r="A674" s="1">
        <v>5</v>
      </c>
      <c r="B674" s="1" t="s">
        <v>693</v>
      </c>
      <c r="C674" s="1" t="s">
        <v>60</v>
      </c>
      <c r="D674" s="1">
        <v>276</v>
      </c>
      <c r="E674" s="1">
        <v>1</v>
      </c>
      <c r="F674" s="1">
        <v>277</v>
      </c>
      <c r="G674" s="1">
        <v>0.2</v>
      </c>
      <c r="H674" s="1">
        <v>63</v>
      </c>
    </row>
    <row r="675" spans="1:8" x14ac:dyDescent="0.5">
      <c r="A675" s="1">
        <v>6</v>
      </c>
      <c r="B675" s="1" t="s">
        <v>473</v>
      </c>
      <c r="C675" s="1" t="s">
        <v>16</v>
      </c>
      <c r="D675" s="1">
        <v>650</v>
      </c>
      <c r="E675" s="1">
        <v>4</v>
      </c>
      <c r="F675" s="1">
        <v>654</v>
      </c>
      <c r="G675" s="1">
        <v>0.48</v>
      </c>
      <c r="H675" s="1">
        <v>63</v>
      </c>
    </row>
    <row r="676" spans="1:8" x14ac:dyDescent="0.5">
      <c r="A676" s="1">
        <v>7</v>
      </c>
      <c r="B676" s="1" t="s">
        <v>694</v>
      </c>
      <c r="C676" s="1" t="s">
        <v>33</v>
      </c>
      <c r="D676" s="1">
        <v>58</v>
      </c>
      <c r="E676" s="1">
        <v>0</v>
      </c>
      <c r="F676" s="1">
        <v>58</v>
      </c>
      <c r="G676" s="1">
        <v>0.04</v>
      </c>
      <c r="H676" s="1">
        <v>63</v>
      </c>
    </row>
    <row r="677" spans="1:8" x14ac:dyDescent="0.5">
      <c r="A677" s="1">
        <v>8</v>
      </c>
      <c r="B677" s="1" t="s">
        <v>695</v>
      </c>
      <c r="C677" s="1" t="s">
        <v>696</v>
      </c>
      <c r="D677" s="1">
        <v>50</v>
      </c>
      <c r="E677" s="1">
        <v>1</v>
      </c>
      <c r="F677" s="1">
        <v>51</v>
      </c>
      <c r="G677" s="1">
        <v>0.04</v>
      </c>
      <c r="H677" s="1">
        <v>63</v>
      </c>
    </row>
    <row r="678" spans="1:8" x14ac:dyDescent="0.5">
      <c r="A678" s="1">
        <v>9</v>
      </c>
      <c r="B678" s="1" t="s">
        <v>697</v>
      </c>
      <c r="C678" s="1" t="s">
        <v>39</v>
      </c>
      <c r="D678" s="1">
        <v>110</v>
      </c>
      <c r="E678" s="1">
        <v>0</v>
      </c>
      <c r="F678" s="1">
        <v>110</v>
      </c>
      <c r="G678" s="1">
        <v>0.08</v>
      </c>
      <c r="H678" s="1">
        <v>63</v>
      </c>
    </row>
    <row r="679" spans="1:8" x14ac:dyDescent="0.5">
      <c r="A679" s="1">
        <v>10</v>
      </c>
      <c r="B679" s="1" t="s">
        <v>698</v>
      </c>
      <c r="C679" s="1" t="s">
        <v>699</v>
      </c>
      <c r="D679" s="1">
        <v>163</v>
      </c>
      <c r="E679" s="1">
        <v>0</v>
      </c>
      <c r="F679" s="1">
        <v>163</v>
      </c>
      <c r="G679" s="1">
        <v>0.12</v>
      </c>
      <c r="H679" s="1">
        <v>63</v>
      </c>
    </row>
    <row r="680" spans="1:8" x14ac:dyDescent="0.5">
      <c r="A680" s="1">
        <v>11</v>
      </c>
      <c r="B680" s="1" t="s">
        <v>700</v>
      </c>
      <c r="C680" s="1" t="s">
        <v>18</v>
      </c>
      <c r="D680" s="1">
        <v>158</v>
      </c>
      <c r="E680" s="1">
        <v>0</v>
      </c>
      <c r="F680" s="1">
        <v>158</v>
      </c>
      <c r="G680" s="1">
        <v>0.12</v>
      </c>
      <c r="H680" s="1">
        <v>63</v>
      </c>
    </row>
    <row r="681" spans="1:8" x14ac:dyDescent="0.5">
      <c r="A681" s="1">
        <v>12</v>
      </c>
      <c r="B681" s="1" t="s">
        <v>20</v>
      </c>
      <c r="C681" s="1" t="s">
        <v>21</v>
      </c>
      <c r="D681" s="1">
        <v>453</v>
      </c>
      <c r="E681" s="1">
        <v>5</v>
      </c>
      <c r="F681" s="1">
        <v>458</v>
      </c>
      <c r="G681" s="1">
        <v>0.33</v>
      </c>
      <c r="H681" s="1">
        <v>63</v>
      </c>
    </row>
    <row r="682" spans="1:8" x14ac:dyDescent="0.5">
      <c r="A682" s="1">
        <v>1</v>
      </c>
      <c r="B682" s="1" t="s">
        <v>278</v>
      </c>
      <c r="C682" s="1" t="s">
        <v>23</v>
      </c>
      <c r="D682" s="1">
        <v>930</v>
      </c>
      <c r="E682" s="1">
        <v>23</v>
      </c>
      <c r="F682" s="1">
        <v>953</v>
      </c>
      <c r="G682" s="1">
        <v>0.66</v>
      </c>
      <c r="H682" s="1">
        <v>64</v>
      </c>
    </row>
    <row r="683" spans="1:8" x14ac:dyDescent="0.5">
      <c r="A683" s="16">
        <v>2</v>
      </c>
      <c r="B683" s="16" t="s">
        <v>701</v>
      </c>
      <c r="C683" s="16" t="s">
        <v>782</v>
      </c>
      <c r="D683" s="16">
        <v>82299</v>
      </c>
      <c r="E683" s="16">
        <v>597</v>
      </c>
      <c r="F683" s="16">
        <v>82896</v>
      </c>
      <c r="G683" s="16">
        <v>57.44</v>
      </c>
      <c r="H683" s="16">
        <v>64</v>
      </c>
    </row>
    <row r="684" spans="1:8" x14ac:dyDescent="0.5">
      <c r="A684" s="1">
        <v>3</v>
      </c>
      <c r="B684" s="1" t="s">
        <v>619</v>
      </c>
      <c r="C684" s="1" t="s">
        <v>12</v>
      </c>
      <c r="D684" s="1">
        <v>54803</v>
      </c>
      <c r="E684" s="1">
        <v>191</v>
      </c>
      <c r="F684" s="1">
        <v>54994</v>
      </c>
      <c r="G684" s="1">
        <v>38.11</v>
      </c>
      <c r="H684" s="1">
        <v>64</v>
      </c>
    </row>
    <row r="685" spans="1:8" x14ac:dyDescent="0.5">
      <c r="A685" s="1">
        <v>4</v>
      </c>
      <c r="B685" s="1" t="s">
        <v>702</v>
      </c>
      <c r="C685" s="1" t="s">
        <v>9</v>
      </c>
      <c r="D685" s="1">
        <v>3604</v>
      </c>
      <c r="E685" s="1">
        <v>35</v>
      </c>
      <c r="F685" s="1">
        <v>3639</v>
      </c>
      <c r="G685" s="1">
        <v>2.52</v>
      </c>
      <c r="H685" s="1">
        <v>64</v>
      </c>
    </row>
    <row r="686" spans="1:8" x14ac:dyDescent="0.5">
      <c r="A686" s="1">
        <v>5</v>
      </c>
      <c r="B686" s="1" t="s">
        <v>703</v>
      </c>
      <c r="C686" s="1" t="s">
        <v>704</v>
      </c>
      <c r="D686" s="1">
        <v>48</v>
      </c>
      <c r="E686" s="1">
        <v>0</v>
      </c>
      <c r="F686" s="1">
        <v>48</v>
      </c>
      <c r="G686" s="1">
        <v>0.03</v>
      </c>
      <c r="H686" s="1">
        <v>64</v>
      </c>
    </row>
    <row r="687" spans="1:8" x14ac:dyDescent="0.5">
      <c r="A687" s="1">
        <v>6</v>
      </c>
      <c r="B687" s="1" t="s">
        <v>179</v>
      </c>
      <c r="C687" s="1" t="s">
        <v>39</v>
      </c>
      <c r="D687" s="1">
        <v>91</v>
      </c>
      <c r="E687" s="1">
        <v>0</v>
      </c>
      <c r="F687" s="1">
        <v>91</v>
      </c>
      <c r="G687" s="1">
        <v>0.06</v>
      </c>
      <c r="H687" s="1">
        <v>64</v>
      </c>
    </row>
    <row r="688" spans="1:8" x14ac:dyDescent="0.5">
      <c r="A688" s="1">
        <v>7</v>
      </c>
      <c r="B688" s="1" t="s">
        <v>705</v>
      </c>
      <c r="C688" s="1" t="s">
        <v>309</v>
      </c>
      <c r="D688" s="1">
        <v>42</v>
      </c>
      <c r="E688" s="1">
        <v>1</v>
      </c>
      <c r="F688" s="1">
        <v>43</v>
      </c>
      <c r="G688" s="1">
        <v>0.03</v>
      </c>
      <c r="H688" s="1">
        <v>64</v>
      </c>
    </row>
    <row r="689" spans="1:8" x14ac:dyDescent="0.5">
      <c r="A689" s="1">
        <v>8</v>
      </c>
      <c r="B689" s="1" t="s">
        <v>706</v>
      </c>
      <c r="C689" s="1" t="s">
        <v>236</v>
      </c>
      <c r="D689" s="1">
        <v>63</v>
      </c>
      <c r="E689" s="1">
        <v>0</v>
      </c>
      <c r="F689" s="1">
        <v>63</v>
      </c>
      <c r="G689" s="1">
        <v>0.04</v>
      </c>
      <c r="H689" s="1">
        <v>64</v>
      </c>
    </row>
    <row r="690" spans="1:8" x14ac:dyDescent="0.5">
      <c r="A690" s="1">
        <v>9</v>
      </c>
      <c r="B690" s="1" t="s">
        <v>707</v>
      </c>
      <c r="C690" s="1" t="s">
        <v>35</v>
      </c>
      <c r="D690" s="1">
        <v>54</v>
      </c>
      <c r="E690" s="1">
        <v>0</v>
      </c>
      <c r="F690" s="1">
        <v>54</v>
      </c>
      <c r="G690" s="1">
        <v>0.04</v>
      </c>
      <c r="H690" s="1">
        <v>64</v>
      </c>
    </row>
    <row r="691" spans="1:8" x14ac:dyDescent="0.5">
      <c r="A691" s="1">
        <v>10</v>
      </c>
      <c r="B691" s="1" t="s">
        <v>708</v>
      </c>
      <c r="C691" s="1" t="s">
        <v>474</v>
      </c>
      <c r="D691" s="1">
        <v>30</v>
      </c>
      <c r="E691" s="1">
        <v>0</v>
      </c>
      <c r="F691" s="1">
        <v>30</v>
      </c>
      <c r="G691" s="1">
        <v>0.02</v>
      </c>
      <c r="H691" s="1">
        <v>64</v>
      </c>
    </row>
    <row r="692" spans="1:8" x14ac:dyDescent="0.5">
      <c r="A692" s="1">
        <v>11</v>
      </c>
      <c r="B692" s="1" t="s">
        <v>709</v>
      </c>
      <c r="C692" s="1" t="s">
        <v>16</v>
      </c>
      <c r="D692" s="1">
        <v>172</v>
      </c>
      <c r="E692" s="1">
        <v>2</v>
      </c>
      <c r="F692" s="1">
        <v>174</v>
      </c>
      <c r="G692" s="1">
        <v>0.12</v>
      </c>
      <c r="H692" s="1">
        <v>64</v>
      </c>
    </row>
    <row r="693" spans="1:8" x14ac:dyDescent="0.5">
      <c r="A693" s="1">
        <v>12</v>
      </c>
      <c r="B693" s="1" t="s">
        <v>710</v>
      </c>
      <c r="C693" s="1" t="s">
        <v>57</v>
      </c>
      <c r="D693" s="1">
        <v>34</v>
      </c>
      <c r="E693" s="1">
        <v>1</v>
      </c>
      <c r="F693" s="1">
        <v>35</v>
      </c>
      <c r="G693" s="1">
        <v>0.02</v>
      </c>
      <c r="H693" s="1">
        <v>64</v>
      </c>
    </row>
    <row r="694" spans="1:8" x14ac:dyDescent="0.5">
      <c r="A694" s="1">
        <v>13</v>
      </c>
      <c r="B694" s="1" t="s">
        <v>711</v>
      </c>
      <c r="C694" s="1" t="s">
        <v>18</v>
      </c>
      <c r="D694" s="1">
        <v>45</v>
      </c>
      <c r="E694" s="1">
        <v>0</v>
      </c>
      <c r="F694" s="1">
        <v>45</v>
      </c>
      <c r="G694" s="1">
        <v>0.03</v>
      </c>
      <c r="H694" s="1">
        <v>64</v>
      </c>
    </row>
    <row r="695" spans="1:8" x14ac:dyDescent="0.5">
      <c r="A695" s="1">
        <v>14</v>
      </c>
      <c r="B695" s="1" t="s">
        <v>712</v>
      </c>
      <c r="C695" s="1" t="s">
        <v>18</v>
      </c>
      <c r="D695" s="1">
        <v>548</v>
      </c>
      <c r="E695" s="1">
        <v>2</v>
      </c>
      <c r="F695" s="1">
        <v>550</v>
      </c>
      <c r="G695" s="1">
        <v>0.38</v>
      </c>
      <c r="H695" s="1">
        <v>64</v>
      </c>
    </row>
    <row r="696" spans="1:8" x14ac:dyDescent="0.5">
      <c r="A696" s="1">
        <v>15</v>
      </c>
      <c r="B696" s="1" t="s">
        <v>713</v>
      </c>
      <c r="C696" s="1" t="s">
        <v>18</v>
      </c>
      <c r="D696" s="1">
        <v>72</v>
      </c>
      <c r="E696" s="1">
        <v>0</v>
      </c>
      <c r="F696" s="1">
        <v>72</v>
      </c>
      <c r="G696" s="1">
        <v>0.05</v>
      </c>
      <c r="H696" s="1">
        <v>64</v>
      </c>
    </row>
    <row r="697" spans="1:8" x14ac:dyDescent="0.5">
      <c r="A697" s="1">
        <v>16</v>
      </c>
      <c r="B697" s="1" t="s">
        <v>20</v>
      </c>
      <c r="C697" s="1" t="s">
        <v>21</v>
      </c>
      <c r="D697" s="1">
        <v>628</v>
      </c>
      <c r="E697" s="1">
        <v>2</v>
      </c>
      <c r="F697" s="1">
        <v>630</v>
      </c>
      <c r="G697" s="1">
        <v>0.44</v>
      </c>
      <c r="H697" s="1">
        <v>64</v>
      </c>
    </row>
    <row r="698" spans="1:8" x14ac:dyDescent="0.5">
      <c r="A698" s="2">
        <v>1</v>
      </c>
      <c r="B698" s="2" t="s">
        <v>714</v>
      </c>
      <c r="C698" s="2" t="s">
        <v>782</v>
      </c>
      <c r="D698" s="2">
        <v>36353</v>
      </c>
      <c r="E698" s="2">
        <v>179</v>
      </c>
      <c r="F698" s="2">
        <v>36532</v>
      </c>
      <c r="G698" s="2">
        <v>27.38</v>
      </c>
      <c r="H698" s="2">
        <v>65</v>
      </c>
    </row>
    <row r="699" spans="1:8" x14ac:dyDescent="0.5">
      <c r="A699" s="1">
        <v>2</v>
      </c>
      <c r="B699" s="1" t="s">
        <v>715</v>
      </c>
      <c r="C699" s="1" t="s">
        <v>9</v>
      </c>
      <c r="D699" s="1">
        <v>16524</v>
      </c>
      <c r="E699" s="1">
        <v>27</v>
      </c>
      <c r="F699" s="1">
        <v>16551</v>
      </c>
      <c r="G699" s="1">
        <v>12.4</v>
      </c>
      <c r="H699" s="1">
        <v>65</v>
      </c>
    </row>
    <row r="700" spans="1:8" x14ac:dyDescent="0.5">
      <c r="A700" s="18">
        <v>3</v>
      </c>
      <c r="B700" s="18" t="s">
        <v>716</v>
      </c>
      <c r="C700" s="18" t="s">
        <v>12</v>
      </c>
      <c r="D700" s="18">
        <v>78866</v>
      </c>
      <c r="E700" s="18">
        <v>143</v>
      </c>
      <c r="F700" s="18">
        <v>79009</v>
      </c>
      <c r="G700" s="18">
        <v>59.21</v>
      </c>
      <c r="H700" s="18">
        <v>65</v>
      </c>
    </row>
    <row r="701" spans="1:8" x14ac:dyDescent="0.5">
      <c r="A701" s="1">
        <v>4</v>
      </c>
      <c r="B701" s="1" t="s">
        <v>157</v>
      </c>
      <c r="C701" s="1" t="s">
        <v>23</v>
      </c>
      <c r="D701" s="1">
        <v>415</v>
      </c>
      <c r="E701" s="1">
        <v>7</v>
      </c>
      <c r="F701" s="1">
        <v>422</v>
      </c>
      <c r="G701" s="1">
        <v>0.32</v>
      </c>
      <c r="H701" s="1">
        <v>65</v>
      </c>
    </row>
    <row r="702" spans="1:8" x14ac:dyDescent="0.5">
      <c r="A702" s="1">
        <v>5</v>
      </c>
      <c r="B702" s="1" t="s">
        <v>717</v>
      </c>
      <c r="C702" s="1" t="s">
        <v>55</v>
      </c>
      <c r="D702" s="1">
        <v>107</v>
      </c>
      <c r="E702" s="1">
        <v>0</v>
      </c>
      <c r="F702" s="1">
        <v>107</v>
      </c>
      <c r="G702" s="1">
        <v>0.08</v>
      </c>
      <c r="H702" s="1">
        <v>65</v>
      </c>
    </row>
    <row r="703" spans="1:8" x14ac:dyDescent="0.5">
      <c r="A703" s="1">
        <v>6</v>
      </c>
      <c r="B703" s="1" t="s">
        <v>718</v>
      </c>
      <c r="C703" s="1" t="s">
        <v>719</v>
      </c>
      <c r="D703" s="1">
        <v>177</v>
      </c>
      <c r="E703" s="1">
        <v>0</v>
      </c>
      <c r="F703" s="1">
        <v>177</v>
      </c>
      <c r="G703" s="1">
        <v>0.13</v>
      </c>
      <c r="H703" s="1">
        <v>65</v>
      </c>
    </row>
    <row r="704" spans="1:8" x14ac:dyDescent="0.5">
      <c r="A704" s="1">
        <v>7</v>
      </c>
      <c r="B704" s="1" t="s">
        <v>720</v>
      </c>
      <c r="C704" s="1" t="s">
        <v>309</v>
      </c>
      <c r="D704" s="1">
        <v>50</v>
      </c>
      <c r="E704" s="1">
        <v>0</v>
      </c>
      <c r="F704" s="1">
        <v>50</v>
      </c>
      <c r="G704" s="1">
        <v>0.04</v>
      </c>
      <c r="H704" s="1">
        <v>65</v>
      </c>
    </row>
    <row r="705" spans="1:8" x14ac:dyDescent="0.5">
      <c r="A705" s="1">
        <v>8</v>
      </c>
      <c r="B705" s="1" t="s">
        <v>721</v>
      </c>
      <c r="C705" s="1" t="s">
        <v>18</v>
      </c>
      <c r="D705" s="1">
        <v>24</v>
      </c>
      <c r="E705" s="1">
        <v>0</v>
      </c>
      <c r="F705" s="1">
        <v>24</v>
      </c>
      <c r="G705" s="1">
        <v>0.02</v>
      </c>
      <c r="H705" s="1">
        <v>65</v>
      </c>
    </row>
    <row r="706" spans="1:8" x14ac:dyDescent="0.5">
      <c r="A706" s="1">
        <v>9</v>
      </c>
      <c r="B706" s="1" t="s">
        <v>722</v>
      </c>
      <c r="C706" s="1" t="s">
        <v>18</v>
      </c>
      <c r="D706" s="1">
        <v>22</v>
      </c>
      <c r="E706" s="1">
        <v>0</v>
      </c>
      <c r="F706" s="1">
        <v>22</v>
      </c>
      <c r="G706" s="1">
        <v>0.02</v>
      </c>
      <c r="H706" s="1">
        <v>65</v>
      </c>
    </row>
    <row r="707" spans="1:8" x14ac:dyDescent="0.5">
      <c r="A707" s="1">
        <v>10</v>
      </c>
      <c r="B707" s="1" t="s">
        <v>723</v>
      </c>
      <c r="C707" s="1" t="s">
        <v>18</v>
      </c>
      <c r="D707" s="1">
        <v>29</v>
      </c>
      <c r="E707" s="1">
        <v>0</v>
      </c>
      <c r="F707" s="1">
        <v>29</v>
      </c>
      <c r="G707" s="1">
        <v>0.02</v>
      </c>
      <c r="H707" s="1">
        <v>65</v>
      </c>
    </row>
    <row r="708" spans="1:8" x14ac:dyDescent="0.5">
      <c r="A708" s="1">
        <v>11</v>
      </c>
      <c r="B708" s="1" t="s">
        <v>724</v>
      </c>
      <c r="C708" s="1" t="s">
        <v>18</v>
      </c>
      <c r="D708" s="1">
        <v>44</v>
      </c>
      <c r="E708" s="1">
        <v>0</v>
      </c>
      <c r="F708" s="1">
        <v>44</v>
      </c>
      <c r="G708" s="1">
        <v>0.03</v>
      </c>
      <c r="H708" s="1">
        <v>65</v>
      </c>
    </row>
    <row r="709" spans="1:8" x14ac:dyDescent="0.5">
      <c r="A709" s="1">
        <v>12</v>
      </c>
      <c r="B709" s="1" t="s">
        <v>725</v>
      </c>
      <c r="C709" s="1" t="s">
        <v>18</v>
      </c>
      <c r="D709" s="1">
        <v>72</v>
      </c>
      <c r="E709" s="1">
        <v>0</v>
      </c>
      <c r="F709" s="1">
        <v>72</v>
      </c>
      <c r="G709" s="1">
        <v>0.05</v>
      </c>
      <c r="H709" s="1">
        <v>65</v>
      </c>
    </row>
    <row r="710" spans="1:8" x14ac:dyDescent="0.5">
      <c r="A710" s="1">
        <v>13</v>
      </c>
      <c r="B710" s="1" t="s">
        <v>726</v>
      </c>
      <c r="C710" s="1" t="s">
        <v>18</v>
      </c>
      <c r="D710" s="1">
        <v>46</v>
      </c>
      <c r="E710" s="1">
        <v>0</v>
      </c>
      <c r="F710" s="1">
        <v>46</v>
      </c>
      <c r="G710" s="1">
        <v>0.03</v>
      </c>
      <c r="H710" s="1">
        <v>65</v>
      </c>
    </row>
    <row r="711" spans="1:8" x14ac:dyDescent="0.5">
      <c r="A711" s="1">
        <v>14</v>
      </c>
      <c r="B711" s="1" t="s">
        <v>20</v>
      </c>
      <c r="C711" s="1" t="s">
        <v>21</v>
      </c>
      <c r="D711" s="1">
        <v>353</v>
      </c>
      <c r="E711" s="1">
        <v>2</v>
      </c>
      <c r="F711" s="1">
        <v>355</v>
      </c>
      <c r="G711" s="1">
        <v>0.27</v>
      </c>
      <c r="H711" s="1">
        <v>65</v>
      </c>
    </row>
    <row r="712" spans="1:8" x14ac:dyDescent="0.5">
      <c r="A712" s="16">
        <v>1</v>
      </c>
      <c r="B712" s="16" t="s">
        <v>727</v>
      </c>
      <c r="C712" s="16" t="s">
        <v>782</v>
      </c>
      <c r="D712" s="16">
        <v>79706</v>
      </c>
      <c r="E712" s="16">
        <v>281</v>
      </c>
      <c r="F712" s="16">
        <v>79987</v>
      </c>
      <c r="G712" s="16">
        <v>56.96</v>
      </c>
      <c r="H712" s="16">
        <v>66</v>
      </c>
    </row>
    <row r="713" spans="1:8" x14ac:dyDescent="0.5">
      <c r="A713" s="1">
        <v>2</v>
      </c>
      <c r="B713" s="1" t="s">
        <v>728</v>
      </c>
      <c r="C713" s="1" t="s">
        <v>12</v>
      </c>
      <c r="D713" s="1">
        <v>53828</v>
      </c>
      <c r="E713" s="1">
        <v>101</v>
      </c>
      <c r="F713" s="1">
        <v>53929</v>
      </c>
      <c r="G713" s="1">
        <v>38.409999999999997</v>
      </c>
      <c r="H713" s="1">
        <v>66</v>
      </c>
    </row>
    <row r="714" spans="1:8" x14ac:dyDescent="0.5">
      <c r="A714" s="1">
        <v>3</v>
      </c>
      <c r="B714" s="1" t="s">
        <v>729</v>
      </c>
      <c r="C714" s="1" t="s">
        <v>9</v>
      </c>
      <c r="D714" s="1">
        <v>4859</v>
      </c>
      <c r="E714" s="1">
        <v>24</v>
      </c>
      <c r="F714" s="1">
        <v>4883</v>
      </c>
      <c r="G714" s="1">
        <v>3.48</v>
      </c>
      <c r="H714" s="1">
        <v>66</v>
      </c>
    </row>
    <row r="715" spans="1:8" x14ac:dyDescent="0.5">
      <c r="A715" s="1">
        <v>4</v>
      </c>
      <c r="B715" s="1" t="s">
        <v>730</v>
      </c>
      <c r="C715" s="1" t="s">
        <v>23</v>
      </c>
      <c r="D715" s="1">
        <v>448</v>
      </c>
      <c r="E715" s="1">
        <v>6</v>
      </c>
      <c r="F715" s="1">
        <v>454</v>
      </c>
      <c r="G715" s="1">
        <v>0.32</v>
      </c>
      <c r="H715" s="1">
        <v>66</v>
      </c>
    </row>
    <row r="716" spans="1:8" x14ac:dyDescent="0.5">
      <c r="A716" s="1">
        <v>5</v>
      </c>
      <c r="B716" s="1" t="s">
        <v>731</v>
      </c>
      <c r="C716" s="1" t="s">
        <v>309</v>
      </c>
      <c r="D716" s="1">
        <v>56</v>
      </c>
      <c r="E716" s="1">
        <v>0</v>
      </c>
      <c r="F716" s="1">
        <v>56</v>
      </c>
      <c r="G716" s="1">
        <v>0.04</v>
      </c>
      <c r="H716" s="1">
        <v>66</v>
      </c>
    </row>
    <row r="717" spans="1:8" x14ac:dyDescent="0.5">
      <c r="A717" s="1">
        <v>6</v>
      </c>
      <c r="B717" s="1" t="s">
        <v>117</v>
      </c>
      <c r="C717" s="1" t="s">
        <v>103</v>
      </c>
      <c r="D717" s="1">
        <v>114</v>
      </c>
      <c r="E717" s="1">
        <v>0</v>
      </c>
      <c r="F717" s="1">
        <v>114</v>
      </c>
      <c r="G717" s="1">
        <v>0.08</v>
      </c>
      <c r="H717" s="1">
        <v>66</v>
      </c>
    </row>
    <row r="718" spans="1:8" x14ac:dyDescent="0.5">
      <c r="A718" s="1">
        <v>7</v>
      </c>
      <c r="B718" s="1" t="s">
        <v>732</v>
      </c>
      <c r="C718" s="1" t="s">
        <v>39</v>
      </c>
      <c r="D718" s="1">
        <v>44</v>
      </c>
      <c r="E718" s="1">
        <v>2</v>
      </c>
      <c r="F718" s="1">
        <v>46</v>
      </c>
      <c r="G718" s="1">
        <v>0.03</v>
      </c>
      <c r="H718" s="1">
        <v>66</v>
      </c>
    </row>
    <row r="719" spans="1:8" x14ac:dyDescent="0.5">
      <c r="A719" s="1">
        <v>8</v>
      </c>
      <c r="B719" s="1" t="s">
        <v>733</v>
      </c>
      <c r="C719" s="1" t="s">
        <v>33</v>
      </c>
      <c r="D719" s="1">
        <v>84</v>
      </c>
      <c r="E719" s="1">
        <v>0</v>
      </c>
      <c r="F719" s="1">
        <v>84</v>
      </c>
      <c r="G719" s="1">
        <v>0.06</v>
      </c>
      <c r="H719" s="1">
        <v>66</v>
      </c>
    </row>
    <row r="720" spans="1:8" x14ac:dyDescent="0.5">
      <c r="A720" s="1">
        <v>9</v>
      </c>
      <c r="B720" s="1" t="s">
        <v>728</v>
      </c>
      <c r="C720" s="1" t="s">
        <v>18</v>
      </c>
      <c r="D720" s="1">
        <v>277</v>
      </c>
      <c r="E720" s="1">
        <v>2</v>
      </c>
      <c r="F720" s="1">
        <v>279</v>
      </c>
      <c r="G720" s="1">
        <v>0.2</v>
      </c>
      <c r="H720" s="1">
        <v>66</v>
      </c>
    </row>
    <row r="721" spans="1:8" x14ac:dyDescent="0.5">
      <c r="A721" s="1">
        <v>10</v>
      </c>
      <c r="B721" s="1" t="s">
        <v>20</v>
      </c>
      <c r="C721" s="1" t="s">
        <v>21</v>
      </c>
      <c r="D721" s="1">
        <v>587</v>
      </c>
      <c r="E721" s="1">
        <v>1</v>
      </c>
      <c r="F721" s="1">
        <v>588</v>
      </c>
      <c r="G721" s="1">
        <v>0.42</v>
      </c>
      <c r="H721" s="1">
        <v>66</v>
      </c>
    </row>
    <row r="722" spans="1:8" x14ac:dyDescent="0.5">
      <c r="A722" s="2">
        <v>1</v>
      </c>
      <c r="B722" s="2" t="s">
        <v>734</v>
      </c>
      <c r="C722" s="2" t="s">
        <v>782</v>
      </c>
      <c r="D722" s="2">
        <v>56758</v>
      </c>
      <c r="E722" s="2">
        <v>440</v>
      </c>
      <c r="F722" s="2">
        <v>57198</v>
      </c>
      <c r="G722" s="2">
        <v>39.93</v>
      </c>
      <c r="H722" s="2">
        <v>67</v>
      </c>
    </row>
    <row r="723" spans="1:8" x14ac:dyDescent="0.5">
      <c r="A723" s="18">
        <v>2</v>
      </c>
      <c r="B723" s="18" t="s">
        <v>735</v>
      </c>
      <c r="C723" s="18" t="s">
        <v>12</v>
      </c>
      <c r="D723" s="18">
        <v>76031</v>
      </c>
      <c r="E723" s="18">
        <v>161</v>
      </c>
      <c r="F723" s="18">
        <v>76192</v>
      </c>
      <c r="G723" s="18">
        <v>53.19</v>
      </c>
      <c r="H723" s="18">
        <v>67</v>
      </c>
    </row>
    <row r="724" spans="1:8" x14ac:dyDescent="0.5">
      <c r="A724" s="1">
        <v>3</v>
      </c>
      <c r="B724" s="1" t="s">
        <v>736</v>
      </c>
      <c r="C724" s="1" t="s">
        <v>9</v>
      </c>
      <c r="D724" s="1">
        <v>8777</v>
      </c>
      <c r="E724" s="1">
        <v>20</v>
      </c>
      <c r="F724" s="1">
        <v>8797</v>
      </c>
      <c r="G724" s="1">
        <v>6.14</v>
      </c>
      <c r="H724" s="1">
        <v>67</v>
      </c>
    </row>
    <row r="725" spans="1:8" x14ac:dyDescent="0.5">
      <c r="A725" s="1">
        <v>4</v>
      </c>
      <c r="B725" s="1" t="s">
        <v>737</v>
      </c>
      <c r="C725" s="1" t="s">
        <v>27</v>
      </c>
      <c r="D725" s="1">
        <v>93</v>
      </c>
      <c r="E725" s="1">
        <v>0</v>
      </c>
      <c r="F725" s="1">
        <v>93</v>
      </c>
      <c r="G725" s="1">
        <v>0.06</v>
      </c>
      <c r="H725" s="1">
        <v>67</v>
      </c>
    </row>
    <row r="726" spans="1:8" x14ac:dyDescent="0.5">
      <c r="A726" s="1">
        <v>5</v>
      </c>
      <c r="B726" s="1" t="s">
        <v>738</v>
      </c>
      <c r="C726" s="1" t="s">
        <v>739</v>
      </c>
      <c r="D726" s="1">
        <v>201</v>
      </c>
      <c r="E726" s="1">
        <v>0</v>
      </c>
      <c r="F726" s="1">
        <v>201</v>
      </c>
      <c r="G726" s="1">
        <v>0.14000000000000001</v>
      </c>
      <c r="H726" s="1">
        <v>67</v>
      </c>
    </row>
    <row r="727" spans="1:8" x14ac:dyDescent="0.5">
      <c r="A727" s="1">
        <v>6</v>
      </c>
      <c r="B727" s="1" t="s">
        <v>407</v>
      </c>
      <c r="C727" s="1" t="s">
        <v>126</v>
      </c>
      <c r="D727" s="1">
        <v>75</v>
      </c>
      <c r="E727" s="1">
        <v>1</v>
      </c>
      <c r="F727" s="1">
        <v>76</v>
      </c>
      <c r="G727" s="1">
        <v>0.05</v>
      </c>
      <c r="H727" s="1">
        <v>67</v>
      </c>
    </row>
    <row r="728" spans="1:8" x14ac:dyDescent="0.5">
      <c r="A728" s="1">
        <v>7</v>
      </c>
      <c r="B728" s="1" t="s">
        <v>740</v>
      </c>
      <c r="C728" s="1" t="s">
        <v>35</v>
      </c>
      <c r="D728" s="1">
        <v>89</v>
      </c>
      <c r="E728" s="1">
        <v>0</v>
      </c>
      <c r="F728" s="1">
        <v>89</v>
      </c>
      <c r="G728" s="1">
        <v>0.06</v>
      </c>
      <c r="H728" s="1">
        <v>67</v>
      </c>
    </row>
    <row r="729" spans="1:8" x14ac:dyDescent="0.5">
      <c r="A729" s="1">
        <v>8</v>
      </c>
      <c r="B729" s="1" t="s">
        <v>741</v>
      </c>
      <c r="C729" s="1" t="s">
        <v>18</v>
      </c>
      <c r="D729" s="1">
        <v>124</v>
      </c>
      <c r="E729" s="1">
        <v>0</v>
      </c>
      <c r="F729" s="1">
        <v>124</v>
      </c>
      <c r="G729" s="1">
        <v>0.09</v>
      </c>
      <c r="H729" s="1">
        <v>67</v>
      </c>
    </row>
    <row r="730" spans="1:8" x14ac:dyDescent="0.5">
      <c r="A730" s="1">
        <v>9</v>
      </c>
      <c r="B730" s="1" t="s">
        <v>20</v>
      </c>
      <c r="C730" s="1" t="s">
        <v>21</v>
      </c>
      <c r="D730" s="1">
        <v>471</v>
      </c>
      <c r="E730" s="1">
        <v>3</v>
      </c>
      <c r="F730" s="1">
        <v>474</v>
      </c>
      <c r="G730" s="1">
        <v>0.33</v>
      </c>
      <c r="H730" s="1">
        <v>67</v>
      </c>
    </row>
    <row r="731" spans="1:8" x14ac:dyDescent="0.5">
      <c r="A731" s="1">
        <v>1</v>
      </c>
      <c r="B731" s="1" t="s">
        <v>742</v>
      </c>
      <c r="C731" s="1" t="s">
        <v>9</v>
      </c>
      <c r="D731" s="1">
        <v>5840</v>
      </c>
      <c r="E731" s="1">
        <v>65</v>
      </c>
      <c r="F731" s="1">
        <v>5905</v>
      </c>
      <c r="G731" s="1">
        <v>3.56</v>
      </c>
      <c r="H731" s="1">
        <v>68</v>
      </c>
    </row>
    <row r="732" spans="1:8" x14ac:dyDescent="0.5">
      <c r="A732" s="2">
        <v>2</v>
      </c>
      <c r="B732" s="2" t="s">
        <v>743</v>
      </c>
      <c r="C732" s="2" t="s">
        <v>782</v>
      </c>
      <c r="D732" s="2">
        <v>71764</v>
      </c>
      <c r="E732" s="2">
        <v>533</v>
      </c>
      <c r="F732" s="2">
        <v>72297</v>
      </c>
      <c r="G732" s="2">
        <v>43.54</v>
      </c>
      <c r="H732" s="2">
        <v>68</v>
      </c>
    </row>
    <row r="733" spans="1:8" x14ac:dyDescent="0.5">
      <c r="A733" s="1">
        <v>3</v>
      </c>
      <c r="B733" s="1" t="s">
        <v>744</v>
      </c>
      <c r="C733" s="1" t="s">
        <v>23</v>
      </c>
      <c r="D733" s="1">
        <v>2518</v>
      </c>
      <c r="E733" s="1">
        <v>44</v>
      </c>
      <c r="F733" s="1">
        <v>2562</v>
      </c>
      <c r="G733" s="1">
        <v>1.54</v>
      </c>
      <c r="H733" s="1">
        <v>68</v>
      </c>
    </row>
    <row r="734" spans="1:8" x14ac:dyDescent="0.5">
      <c r="A734" s="18">
        <v>4</v>
      </c>
      <c r="B734" s="18" t="s">
        <v>745</v>
      </c>
      <c r="C734" s="18" t="s">
        <v>12</v>
      </c>
      <c r="D734" s="18">
        <v>80086</v>
      </c>
      <c r="E734" s="18">
        <v>418</v>
      </c>
      <c r="F734" s="18">
        <v>80504</v>
      </c>
      <c r="G734" s="18">
        <v>48.48</v>
      </c>
      <c r="H734" s="18">
        <v>68</v>
      </c>
    </row>
    <row r="735" spans="1:8" x14ac:dyDescent="0.5">
      <c r="A735" s="1">
        <v>5</v>
      </c>
      <c r="B735" s="1" t="s">
        <v>746</v>
      </c>
      <c r="C735" s="1" t="s">
        <v>150</v>
      </c>
      <c r="D735" s="1">
        <v>335</v>
      </c>
      <c r="E735" s="1">
        <v>4</v>
      </c>
      <c r="F735" s="1">
        <v>339</v>
      </c>
      <c r="G735" s="1">
        <v>0.2</v>
      </c>
      <c r="H735" s="1">
        <v>68</v>
      </c>
    </row>
    <row r="736" spans="1:8" x14ac:dyDescent="0.5">
      <c r="A736" s="1">
        <v>6</v>
      </c>
      <c r="B736" s="1" t="s">
        <v>747</v>
      </c>
      <c r="C736" s="1" t="s">
        <v>16</v>
      </c>
      <c r="D736" s="1">
        <v>3049</v>
      </c>
      <c r="E736" s="1">
        <v>37</v>
      </c>
      <c r="F736" s="1">
        <v>3086</v>
      </c>
      <c r="G736" s="1">
        <v>1.86</v>
      </c>
      <c r="H736" s="1">
        <v>68</v>
      </c>
    </row>
    <row r="737" spans="1:8" x14ac:dyDescent="0.5">
      <c r="A737" s="1">
        <v>7</v>
      </c>
      <c r="B737" s="1" t="s">
        <v>694</v>
      </c>
      <c r="C737" s="1" t="s">
        <v>33</v>
      </c>
      <c r="D737" s="1">
        <v>91</v>
      </c>
      <c r="E737" s="1">
        <v>0</v>
      </c>
      <c r="F737" s="1">
        <v>91</v>
      </c>
      <c r="G737" s="1">
        <v>0.05</v>
      </c>
      <c r="H737" s="1">
        <v>68</v>
      </c>
    </row>
    <row r="738" spans="1:8" x14ac:dyDescent="0.5">
      <c r="A738" s="1">
        <v>8</v>
      </c>
      <c r="B738" s="1" t="s">
        <v>748</v>
      </c>
      <c r="C738" s="1" t="s">
        <v>39</v>
      </c>
      <c r="D738" s="1">
        <v>64</v>
      </c>
      <c r="E738" s="1">
        <v>0</v>
      </c>
      <c r="F738" s="1">
        <v>64</v>
      </c>
      <c r="G738" s="1">
        <v>0.04</v>
      </c>
      <c r="H738" s="1">
        <v>68</v>
      </c>
    </row>
    <row r="739" spans="1:8" x14ac:dyDescent="0.5">
      <c r="A739" s="1">
        <v>9</v>
      </c>
      <c r="B739" s="1" t="s">
        <v>749</v>
      </c>
      <c r="C739" s="1" t="s">
        <v>60</v>
      </c>
      <c r="D739" s="1">
        <v>193</v>
      </c>
      <c r="E739" s="1">
        <v>2</v>
      </c>
      <c r="F739" s="1">
        <v>195</v>
      </c>
      <c r="G739" s="1">
        <v>0.12</v>
      </c>
      <c r="H739" s="1">
        <v>68</v>
      </c>
    </row>
    <row r="740" spans="1:8" x14ac:dyDescent="0.5">
      <c r="A740" s="1">
        <v>10</v>
      </c>
      <c r="B740" s="1" t="s">
        <v>750</v>
      </c>
      <c r="C740" s="1" t="s">
        <v>696</v>
      </c>
      <c r="D740" s="1">
        <v>145</v>
      </c>
      <c r="E740" s="1">
        <v>0</v>
      </c>
      <c r="F740" s="1">
        <v>145</v>
      </c>
      <c r="G740" s="1">
        <v>0.09</v>
      </c>
      <c r="H740" s="1">
        <v>68</v>
      </c>
    </row>
    <row r="741" spans="1:8" x14ac:dyDescent="0.5">
      <c r="A741" s="1">
        <v>11</v>
      </c>
      <c r="B741" s="1" t="s">
        <v>751</v>
      </c>
      <c r="C741" s="1" t="s">
        <v>57</v>
      </c>
      <c r="D741" s="1">
        <v>125</v>
      </c>
      <c r="E741" s="1">
        <v>4</v>
      </c>
      <c r="F741" s="1">
        <v>129</v>
      </c>
      <c r="G741" s="1">
        <v>0.08</v>
      </c>
      <c r="H741" s="1">
        <v>68</v>
      </c>
    </row>
    <row r="742" spans="1:8" x14ac:dyDescent="0.5">
      <c r="A742" s="1">
        <v>12</v>
      </c>
      <c r="B742" s="1" t="s">
        <v>752</v>
      </c>
      <c r="C742" s="1" t="s">
        <v>18</v>
      </c>
      <c r="D742" s="1">
        <v>130</v>
      </c>
      <c r="E742" s="1">
        <v>3</v>
      </c>
      <c r="F742" s="1">
        <v>133</v>
      </c>
      <c r="G742" s="1">
        <v>0.08</v>
      </c>
      <c r="H742" s="1">
        <v>68</v>
      </c>
    </row>
    <row r="743" spans="1:8" x14ac:dyDescent="0.5">
      <c r="A743" s="1">
        <v>13</v>
      </c>
      <c r="B743" s="1" t="s">
        <v>20</v>
      </c>
      <c r="C743" s="1" t="s">
        <v>21</v>
      </c>
      <c r="D743" s="1">
        <v>589</v>
      </c>
      <c r="E743" s="1">
        <v>12</v>
      </c>
      <c r="F743" s="1">
        <v>601</v>
      </c>
      <c r="G743" s="1">
        <v>0.36</v>
      </c>
      <c r="H743" s="1">
        <v>68</v>
      </c>
    </row>
    <row r="744" spans="1:8" x14ac:dyDescent="0.5">
      <c r="A744" s="1">
        <v>1</v>
      </c>
      <c r="B744" s="1" t="s">
        <v>753</v>
      </c>
      <c r="C744" s="1" t="s">
        <v>9</v>
      </c>
      <c r="D744" s="1">
        <v>11732</v>
      </c>
      <c r="E744" s="1">
        <v>31</v>
      </c>
      <c r="F744" s="1">
        <v>11763</v>
      </c>
      <c r="G744" s="1">
        <v>5.85</v>
      </c>
      <c r="H744" s="1">
        <v>69</v>
      </c>
    </row>
    <row r="745" spans="1:8" x14ac:dyDescent="0.5">
      <c r="A745" s="1">
        <v>2</v>
      </c>
      <c r="B745" s="1" t="s">
        <v>278</v>
      </c>
      <c r="C745" s="1" t="s">
        <v>23</v>
      </c>
      <c r="D745" s="1">
        <v>1201</v>
      </c>
      <c r="E745" s="1">
        <v>22</v>
      </c>
      <c r="F745" s="1">
        <v>1223</v>
      </c>
      <c r="G745" s="1">
        <v>0.61</v>
      </c>
      <c r="H745" s="1">
        <v>69</v>
      </c>
    </row>
    <row r="746" spans="1:8" x14ac:dyDescent="0.5">
      <c r="A746" s="1">
        <v>3</v>
      </c>
      <c r="B746" s="1" t="s">
        <v>754</v>
      </c>
      <c r="C746" s="1" t="s">
        <v>12</v>
      </c>
      <c r="D746" s="1">
        <v>67511</v>
      </c>
      <c r="E746" s="1">
        <v>126</v>
      </c>
      <c r="F746" s="1">
        <v>67637</v>
      </c>
      <c r="G746" s="1">
        <v>33.619999999999997</v>
      </c>
      <c r="H746" s="1">
        <v>69</v>
      </c>
    </row>
    <row r="747" spans="1:8" x14ac:dyDescent="0.5">
      <c r="A747" s="16">
        <v>4</v>
      </c>
      <c r="B747" s="16" t="s">
        <v>755</v>
      </c>
      <c r="C747" s="16" t="s">
        <v>782</v>
      </c>
      <c r="D747" s="16">
        <v>84888</v>
      </c>
      <c r="E747" s="16">
        <v>327</v>
      </c>
      <c r="F747" s="16">
        <v>85215</v>
      </c>
      <c r="G747" s="16">
        <v>42.36</v>
      </c>
      <c r="H747" s="16">
        <v>69</v>
      </c>
    </row>
    <row r="748" spans="1:8" x14ac:dyDescent="0.5">
      <c r="A748" s="1">
        <v>5</v>
      </c>
      <c r="B748" s="1" t="s">
        <v>756</v>
      </c>
      <c r="C748" s="1" t="s">
        <v>89</v>
      </c>
      <c r="D748" s="1">
        <v>236</v>
      </c>
      <c r="E748" s="1">
        <v>0</v>
      </c>
      <c r="F748" s="1">
        <v>236</v>
      </c>
      <c r="G748" s="1">
        <v>0.12</v>
      </c>
      <c r="H748" s="1">
        <v>69</v>
      </c>
    </row>
    <row r="749" spans="1:8" x14ac:dyDescent="0.5">
      <c r="A749" s="1">
        <v>6</v>
      </c>
      <c r="B749" s="1" t="s">
        <v>757</v>
      </c>
      <c r="C749" s="1" t="s">
        <v>758</v>
      </c>
      <c r="D749" s="1">
        <v>151</v>
      </c>
      <c r="E749" s="1">
        <v>0</v>
      </c>
      <c r="F749" s="1">
        <v>151</v>
      </c>
      <c r="G749" s="1">
        <v>0.08</v>
      </c>
      <c r="H749" s="1">
        <v>69</v>
      </c>
    </row>
    <row r="750" spans="1:8" x14ac:dyDescent="0.5">
      <c r="A750" s="1">
        <v>7</v>
      </c>
      <c r="B750" s="1" t="s">
        <v>759</v>
      </c>
      <c r="C750" s="1" t="s">
        <v>609</v>
      </c>
      <c r="D750" s="1">
        <v>33467</v>
      </c>
      <c r="E750" s="1">
        <v>7</v>
      </c>
      <c r="F750" s="1">
        <v>33474</v>
      </c>
      <c r="G750" s="1">
        <v>16.64</v>
      </c>
      <c r="H750" s="1">
        <v>69</v>
      </c>
    </row>
    <row r="751" spans="1:8" x14ac:dyDescent="0.5">
      <c r="A751" s="1">
        <v>8</v>
      </c>
      <c r="B751" s="1" t="s">
        <v>760</v>
      </c>
      <c r="C751" s="1" t="s">
        <v>696</v>
      </c>
      <c r="D751" s="1">
        <v>391</v>
      </c>
      <c r="E751" s="1">
        <v>0</v>
      </c>
      <c r="F751" s="1">
        <v>391</v>
      </c>
      <c r="G751" s="1">
        <v>0.19</v>
      </c>
      <c r="H751" s="1">
        <v>69</v>
      </c>
    </row>
    <row r="752" spans="1:8" x14ac:dyDescent="0.5">
      <c r="A752" s="1">
        <v>9</v>
      </c>
      <c r="B752" s="1" t="s">
        <v>761</v>
      </c>
      <c r="C752" s="1" t="s">
        <v>719</v>
      </c>
      <c r="D752" s="1">
        <v>75</v>
      </c>
      <c r="E752" s="1">
        <v>0</v>
      </c>
      <c r="F752" s="1">
        <v>75</v>
      </c>
      <c r="G752" s="1">
        <v>0.04</v>
      </c>
      <c r="H752" s="1">
        <v>69</v>
      </c>
    </row>
    <row r="753" spans="1:8" x14ac:dyDescent="0.5">
      <c r="A753" s="1">
        <v>10</v>
      </c>
      <c r="B753" s="1" t="s">
        <v>762</v>
      </c>
      <c r="C753" s="1" t="s">
        <v>60</v>
      </c>
      <c r="D753" s="1">
        <v>191</v>
      </c>
      <c r="E753" s="1">
        <v>1</v>
      </c>
      <c r="F753" s="1">
        <v>192</v>
      </c>
      <c r="G753" s="1">
        <v>0.1</v>
      </c>
      <c r="H753" s="1">
        <v>69</v>
      </c>
    </row>
    <row r="754" spans="1:8" x14ac:dyDescent="0.5">
      <c r="A754" s="1">
        <v>11</v>
      </c>
      <c r="B754" s="1" t="s">
        <v>763</v>
      </c>
      <c r="C754" s="1" t="s">
        <v>140</v>
      </c>
      <c r="D754" s="1">
        <v>227</v>
      </c>
      <c r="E754" s="1">
        <v>0</v>
      </c>
      <c r="F754" s="1">
        <v>227</v>
      </c>
      <c r="G754" s="1">
        <v>0.11</v>
      </c>
      <c r="H754" s="1">
        <v>69</v>
      </c>
    </row>
    <row r="755" spans="1:8" x14ac:dyDescent="0.5">
      <c r="A755" s="1">
        <v>12</v>
      </c>
      <c r="B755" s="1" t="s">
        <v>764</v>
      </c>
      <c r="C755" s="1" t="s">
        <v>18</v>
      </c>
      <c r="D755" s="1">
        <v>122</v>
      </c>
      <c r="E755" s="1">
        <v>0</v>
      </c>
      <c r="F755" s="1">
        <v>122</v>
      </c>
      <c r="G755" s="1">
        <v>0.06</v>
      </c>
      <c r="H755" s="1">
        <v>69</v>
      </c>
    </row>
    <row r="756" spans="1:8" x14ac:dyDescent="0.5">
      <c r="A756" s="1">
        <v>13</v>
      </c>
      <c r="B756" s="1" t="s">
        <v>20</v>
      </c>
      <c r="C756" s="1" t="s">
        <v>21</v>
      </c>
      <c r="D756" s="1">
        <v>451</v>
      </c>
      <c r="E756" s="1">
        <v>4</v>
      </c>
      <c r="F756" s="1">
        <v>455</v>
      </c>
      <c r="G756" s="1">
        <v>0.23</v>
      </c>
      <c r="H756" s="1">
        <v>69</v>
      </c>
    </row>
    <row r="757" spans="1:8" x14ac:dyDescent="0.5">
      <c r="A757" s="1">
        <v>1</v>
      </c>
      <c r="B757" s="1" t="s">
        <v>765</v>
      </c>
      <c r="C757" s="1" t="s">
        <v>584</v>
      </c>
      <c r="D757" s="1">
        <v>456</v>
      </c>
      <c r="E757" s="1">
        <v>1</v>
      </c>
      <c r="F757" s="1">
        <v>457</v>
      </c>
      <c r="G757" s="1">
        <v>0.23</v>
      </c>
      <c r="H757" s="1">
        <v>70</v>
      </c>
    </row>
    <row r="758" spans="1:8" x14ac:dyDescent="0.5">
      <c r="A758" s="16">
        <v>2</v>
      </c>
      <c r="B758" s="16" t="s">
        <v>766</v>
      </c>
      <c r="C758" s="16" t="s">
        <v>782</v>
      </c>
      <c r="D758" s="16">
        <v>106963</v>
      </c>
      <c r="E758" s="16">
        <v>404</v>
      </c>
      <c r="F758" s="16">
        <v>107367</v>
      </c>
      <c r="G758" s="16">
        <v>53.39</v>
      </c>
      <c r="H758" s="16">
        <v>70</v>
      </c>
    </row>
    <row r="759" spans="1:8" x14ac:dyDescent="0.5">
      <c r="A759" s="1">
        <v>3</v>
      </c>
      <c r="B759" s="1" t="s">
        <v>767</v>
      </c>
      <c r="C759" s="1" t="s">
        <v>23</v>
      </c>
      <c r="D759" s="1">
        <v>1876</v>
      </c>
      <c r="E759" s="1">
        <v>11</v>
      </c>
      <c r="F759" s="1">
        <v>1887</v>
      </c>
      <c r="G759" s="1">
        <v>0.94</v>
      </c>
      <c r="H759" s="1">
        <v>70</v>
      </c>
    </row>
    <row r="760" spans="1:8" x14ac:dyDescent="0.5">
      <c r="A760" s="1">
        <v>4</v>
      </c>
      <c r="B760" s="1" t="s">
        <v>768</v>
      </c>
      <c r="C760" s="1" t="s">
        <v>12</v>
      </c>
      <c r="D760" s="1">
        <v>83843</v>
      </c>
      <c r="E760" s="1">
        <v>169</v>
      </c>
      <c r="F760" s="1">
        <v>84012</v>
      </c>
      <c r="G760" s="1">
        <v>41.78</v>
      </c>
      <c r="H760" s="1">
        <v>70</v>
      </c>
    </row>
    <row r="761" spans="1:8" x14ac:dyDescent="0.5">
      <c r="A761" s="1">
        <v>5</v>
      </c>
      <c r="B761" s="1" t="s">
        <v>769</v>
      </c>
      <c r="C761" s="1" t="s">
        <v>9</v>
      </c>
      <c r="D761" s="1">
        <v>3908</v>
      </c>
      <c r="E761" s="1">
        <v>13</v>
      </c>
      <c r="F761" s="1">
        <v>3921</v>
      </c>
      <c r="G761" s="1">
        <v>1.95</v>
      </c>
      <c r="H761" s="1">
        <v>70</v>
      </c>
    </row>
    <row r="762" spans="1:8" x14ac:dyDescent="0.5">
      <c r="A762" s="1">
        <v>6</v>
      </c>
      <c r="B762" s="1" t="s">
        <v>770</v>
      </c>
      <c r="C762" s="1" t="s">
        <v>188</v>
      </c>
      <c r="D762" s="1">
        <v>100</v>
      </c>
      <c r="E762" s="1">
        <v>0</v>
      </c>
      <c r="F762" s="1">
        <v>100</v>
      </c>
      <c r="G762" s="1">
        <v>0.05</v>
      </c>
      <c r="H762" s="1">
        <v>70</v>
      </c>
    </row>
    <row r="763" spans="1:8" x14ac:dyDescent="0.5">
      <c r="A763" s="1">
        <v>7</v>
      </c>
      <c r="B763" s="1" t="s">
        <v>771</v>
      </c>
      <c r="C763" s="1" t="s">
        <v>772</v>
      </c>
      <c r="D763" s="1">
        <v>278</v>
      </c>
      <c r="E763" s="1">
        <v>0</v>
      </c>
      <c r="F763" s="1">
        <v>278</v>
      </c>
      <c r="G763" s="1">
        <v>0.14000000000000001</v>
      </c>
      <c r="H763" s="1">
        <v>70</v>
      </c>
    </row>
    <row r="764" spans="1:8" x14ac:dyDescent="0.5">
      <c r="A764" s="1">
        <v>8</v>
      </c>
      <c r="B764" s="1" t="s">
        <v>773</v>
      </c>
      <c r="C764" s="1" t="s">
        <v>89</v>
      </c>
      <c r="D764" s="1">
        <v>89</v>
      </c>
      <c r="E764" s="1">
        <v>1</v>
      </c>
      <c r="F764" s="1">
        <v>90</v>
      </c>
      <c r="G764" s="1">
        <v>0.04</v>
      </c>
      <c r="H764" s="1">
        <v>70</v>
      </c>
    </row>
    <row r="765" spans="1:8" x14ac:dyDescent="0.5">
      <c r="A765" s="1">
        <v>9</v>
      </c>
      <c r="B765" s="1" t="s">
        <v>774</v>
      </c>
      <c r="C765" s="1" t="s">
        <v>60</v>
      </c>
      <c r="D765" s="1">
        <v>128</v>
      </c>
      <c r="E765" s="1">
        <v>0</v>
      </c>
      <c r="F765" s="1">
        <v>128</v>
      </c>
      <c r="G765" s="1">
        <v>0.06</v>
      </c>
      <c r="H765" s="1">
        <v>70</v>
      </c>
    </row>
    <row r="766" spans="1:8" x14ac:dyDescent="0.5">
      <c r="A766" s="1">
        <v>10</v>
      </c>
      <c r="B766" s="1" t="s">
        <v>775</v>
      </c>
      <c r="C766" s="1" t="s">
        <v>39</v>
      </c>
      <c r="D766" s="1">
        <v>165</v>
      </c>
      <c r="E766" s="1">
        <v>0</v>
      </c>
      <c r="F766" s="1">
        <v>165</v>
      </c>
      <c r="G766" s="1">
        <v>0.08</v>
      </c>
      <c r="H766" s="1">
        <v>70</v>
      </c>
    </row>
    <row r="767" spans="1:8" x14ac:dyDescent="0.5">
      <c r="A767" s="1">
        <v>11</v>
      </c>
      <c r="B767" s="1" t="s">
        <v>776</v>
      </c>
      <c r="C767" s="1" t="s">
        <v>126</v>
      </c>
      <c r="D767" s="1">
        <v>70</v>
      </c>
      <c r="E767" s="1">
        <v>1</v>
      </c>
      <c r="F767" s="1">
        <v>71</v>
      </c>
      <c r="G767" s="1">
        <v>0.04</v>
      </c>
      <c r="H767" s="1">
        <v>70</v>
      </c>
    </row>
    <row r="768" spans="1:8" x14ac:dyDescent="0.5">
      <c r="A768" s="1">
        <v>12</v>
      </c>
      <c r="B768" s="1" t="s">
        <v>777</v>
      </c>
      <c r="C768" s="1" t="s">
        <v>778</v>
      </c>
      <c r="D768" s="1">
        <v>491</v>
      </c>
      <c r="E768" s="1">
        <v>0</v>
      </c>
      <c r="F768" s="1">
        <v>491</v>
      </c>
      <c r="G768" s="1">
        <v>0.24</v>
      </c>
      <c r="H768" s="1">
        <v>70</v>
      </c>
    </row>
    <row r="769" spans="1:8" x14ac:dyDescent="0.5">
      <c r="A769" s="1">
        <v>13</v>
      </c>
      <c r="B769" s="1" t="s">
        <v>779</v>
      </c>
      <c r="C769" s="1" t="s">
        <v>18</v>
      </c>
      <c r="D769" s="1">
        <v>1002</v>
      </c>
      <c r="E769" s="1">
        <v>4</v>
      </c>
      <c r="F769" s="1">
        <v>1006</v>
      </c>
      <c r="G769" s="1">
        <v>0.5</v>
      </c>
      <c r="H769" s="1">
        <v>70</v>
      </c>
    </row>
    <row r="770" spans="1:8" x14ac:dyDescent="0.5">
      <c r="A770" s="1">
        <v>14</v>
      </c>
      <c r="B770" s="1" t="s">
        <v>780</v>
      </c>
      <c r="C770" s="1" t="s">
        <v>18</v>
      </c>
      <c r="D770" s="1">
        <v>228</v>
      </c>
      <c r="E770" s="1">
        <v>1</v>
      </c>
      <c r="F770" s="1">
        <v>229</v>
      </c>
      <c r="G770" s="1">
        <v>0.11</v>
      </c>
      <c r="H770" s="1">
        <v>70</v>
      </c>
    </row>
    <row r="771" spans="1:8" x14ac:dyDescent="0.5">
      <c r="A771" s="1">
        <v>15</v>
      </c>
      <c r="B771" s="1" t="s">
        <v>781</v>
      </c>
      <c r="C771" s="1" t="s">
        <v>18</v>
      </c>
      <c r="D771" s="1">
        <v>173</v>
      </c>
      <c r="E771" s="1">
        <v>0</v>
      </c>
      <c r="F771" s="1">
        <v>173</v>
      </c>
      <c r="G771" s="1">
        <v>0.09</v>
      </c>
      <c r="H771" s="1">
        <v>70</v>
      </c>
    </row>
    <row r="772" spans="1:8" x14ac:dyDescent="0.5">
      <c r="A772" s="1">
        <v>16</v>
      </c>
      <c r="B772" s="1" t="s">
        <v>20</v>
      </c>
      <c r="C772" s="1" t="s">
        <v>21</v>
      </c>
      <c r="D772" s="1">
        <v>706</v>
      </c>
      <c r="E772" s="1">
        <v>3</v>
      </c>
      <c r="F772" s="1">
        <v>709</v>
      </c>
      <c r="G772" s="1">
        <v>0.35</v>
      </c>
      <c r="H772" s="1">
        <v>70</v>
      </c>
    </row>
  </sheetData>
  <mergeCells count="3">
    <mergeCell ref="U1:AC2"/>
    <mergeCell ref="A1:H2"/>
    <mergeCell ref="K1:N2"/>
  </mergeCells>
  <pageMargins left="0.7" right="0.7" top="0.75" bottom="0.75" header="0.3" footer="0.3"/>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38CE-6CCB-41E5-A843-DE4D61E3EC24}">
  <dimension ref="A1:C1364"/>
  <sheetViews>
    <sheetView zoomScale="98" zoomScaleNormal="98" workbookViewId="0">
      <selection activeCell="B1" sqref="B1"/>
    </sheetView>
  </sheetViews>
  <sheetFormatPr defaultRowHeight="18" x14ac:dyDescent="0.5"/>
  <cols>
    <col min="1" max="1" width="55.77734375" bestFit="1" customWidth="1"/>
    <col min="2" max="2" width="9.21875" bestFit="1" customWidth="1"/>
    <col min="3" max="3" width="16.44140625" bestFit="1" customWidth="1"/>
    <col min="4" max="4" width="32.5546875" bestFit="1" customWidth="1"/>
    <col min="5" max="5" width="19.44140625" bestFit="1" customWidth="1"/>
    <col min="6" max="6" width="20.6640625" bestFit="1" customWidth="1"/>
    <col min="7" max="7" width="23.88671875" bestFit="1" customWidth="1"/>
    <col min="8" max="8" width="27.33203125" bestFit="1" customWidth="1"/>
    <col min="9" max="9" width="19.6640625" bestFit="1" customWidth="1"/>
    <col min="10" max="10" width="33.109375" bestFit="1" customWidth="1"/>
    <col min="11" max="11" width="22" bestFit="1" customWidth="1"/>
    <col min="12" max="12" width="29" bestFit="1" customWidth="1"/>
    <col min="13" max="13" width="21.109375" bestFit="1" customWidth="1"/>
    <col min="14" max="14" width="30.44140625" bestFit="1" customWidth="1"/>
    <col min="15" max="15" width="34.6640625" bestFit="1" customWidth="1"/>
    <col min="16" max="16" width="22.77734375" bestFit="1" customWidth="1"/>
    <col min="17" max="17" width="37.88671875" bestFit="1" customWidth="1"/>
    <col min="18" max="18" width="30.88671875" bestFit="1" customWidth="1"/>
    <col min="19" max="19" width="19.21875" bestFit="1" customWidth="1"/>
    <col min="20" max="20" width="22.6640625" bestFit="1" customWidth="1"/>
    <col min="21" max="21" width="20.33203125" bestFit="1" customWidth="1"/>
    <col min="22" max="22" width="19.5546875" bestFit="1" customWidth="1"/>
    <col min="23" max="23" width="18.33203125" bestFit="1" customWidth="1"/>
    <col min="24" max="24" width="22.88671875" bestFit="1" customWidth="1"/>
    <col min="25" max="25" width="21.33203125" bestFit="1" customWidth="1"/>
    <col min="26" max="26" width="46.88671875" bestFit="1" customWidth="1"/>
    <col min="27" max="27" width="24.5546875" bestFit="1" customWidth="1"/>
    <col min="28" max="28" width="31.33203125" bestFit="1" customWidth="1"/>
    <col min="29" max="29" width="34.21875" bestFit="1" customWidth="1"/>
    <col min="30" max="30" width="23.44140625" bestFit="1" customWidth="1"/>
    <col min="31" max="31" width="37.21875" bestFit="1" customWidth="1"/>
    <col min="32" max="32" width="33.44140625" bestFit="1" customWidth="1"/>
    <col min="33" max="33" width="32.5546875" bestFit="1" customWidth="1"/>
    <col min="34" max="34" width="20.6640625" bestFit="1" customWidth="1"/>
    <col min="35" max="35" width="31" bestFit="1" customWidth="1"/>
    <col min="36" max="36" width="20.44140625" bestFit="1" customWidth="1"/>
    <col min="37" max="37" width="20.88671875" bestFit="1" customWidth="1"/>
    <col min="38" max="39" width="26.5546875" bestFit="1" customWidth="1"/>
    <col min="40" max="40" width="27.5546875" bestFit="1" customWidth="1"/>
    <col min="41" max="41" width="22.6640625" bestFit="1" customWidth="1"/>
    <col min="42" max="42" width="27.21875" bestFit="1" customWidth="1"/>
    <col min="43" max="43" width="11.33203125" bestFit="1" customWidth="1"/>
    <col min="44" max="44" width="16.44140625" bestFit="1" customWidth="1"/>
    <col min="45" max="45" width="20.77734375" bestFit="1" customWidth="1"/>
    <col min="46" max="46" width="26" bestFit="1" customWidth="1"/>
    <col min="47" max="47" width="36" bestFit="1" customWidth="1"/>
    <col min="48" max="48" width="57.33203125" bestFit="1" customWidth="1"/>
    <col min="49" max="49" width="17.33203125" bestFit="1" customWidth="1"/>
    <col min="50" max="50" width="20.88671875" bestFit="1" customWidth="1"/>
    <col min="51" max="51" width="17.109375" bestFit="1" customWidth="1"/>
    <col min="52" max="52" width="26.109375" bestFit="1" customWidth="1"/>
    <col min="53" max="53" width="23" bestFit="1" customWidth="1"/>
    <col min="54" max="54" width="13.21875" bestFit="1" customWidth="1"/>
    <col min="55" max="55" width="25.6640625" bestFit="1" customWidth="1"/>
    <col min="56" max="56" width="40.33203125" bestFit="1" customWidth="1"/>
    <col min="57" max="57" width="23.44140625" bestFit="1" customWidth="1"/>
    <col min="58" max="58" width="17" bestFit="1" customWidth="1"/>
    <col min="59" max="59" width="20.21875" bestFit="1" customWidth="1"/>
    <col min="60" max="60" width="10.33203125" bestFit="1" customWidth="1"/>
    <col min="61" max="61" width="23.33203125" bestFit="1" customWidth="1"/>
    <col min="62" max="62" width="22.109375" bestFit="1" customWidth="1"/>
    <col min="63" max="63" width="31" bestFit="1" customWidth="1"/>
    <col min="64" max="64" width="25.5546875" bestFit="1" customWidth="1"/>
    <col min="65" max="65" width="25.77734375" bestFit="1" customWidth="1"/>
    <col min="66" max="66" width="26.21875" bestFit="1" customWidth="1"/>
    <col min="67" max="67" width="21.6640625" bestFit="1" customWidth="1"/>
    <col min="68" max="68" width="27.109375" bestFit="1" customWidth="1"/>
    <col min="69" max="69" width="25.77734375" bestFit="1" customWidth="1"/>
    <col min="70" max="70" width="23.77734375" bestFit="1" customWidth="1"/>
    <col min="71" max="71" width="19.21875" bestFit="1" customWidth="1"/>
    <col min="72" max="72" width="25.6640625" bestFit="1" customWidth="1"/>
    <col min="73" max="73" width="12.5546875" bestFit="1" customWidth="1"/>
    <col min="74" max="74" width="20.88671875" bestFit="1" customWidth="1"/>
    <col min="75" max="75" width="35.6640625" bestFit="1" customWidth="1"/>
    <col min="76" max="76" width="19.5546875" bestFit="1" customWidth="1"/>
    <col min="77" max="77" width="24.5546875" bestFit="1" customWidth="1"/>
    <col min="78" max="78" width="22.33203125" bestFit="1" customWidth="1"/>
    <col min="79" max="79" width="24.77734375" bestFit="1" customWidth="1"/>
    <col min="80" max="80" width="36" bestFit="1" customWidth="1"/>
    <col min="81" max="81" width="32.77734375" bestFit="1" customWidth="1"/>
    <col min="82" max="82" width="28.5546875" bestFit="1" customWidth="1"/>
    <col min="83" max="83" width="34.109375" bestFit="1" customWidth="1"/>
    <col min="84" max="84" width="21" bestFit="1" customWidth="1"/>
    <col min="85" max="85" width="34.6640625" bestFit="1" customWidth="1"/>
    <col min="86" max="86" width="29.33203125" bestFit="1" customWidth="1"/>
    <col min="87" max="87" width="26.44140625" bestFit="1" customWidth="1"/>
    <col min="88" max="88" width="22.6640625" bestFit="1" customWidth="1"/>
    <col min="89" max="89" width="28.44140625" bestFit="1" customWidth="1"/>
    <col min="90" max="90" width="27.109375" bestFit="1" customWidth="1"/>
    <col min="91" max="91" width="36.6640625" bestFit="1" customWidth="1"/>
    <col min="92" max="92" width="16.88671875" bestFit="1" customWidth="1"/>
    <col min="93" max="93" width="20.88671875" bestFit="1" customWidth="1"/>
    <col min="94" max="94" width="25.109375" bestFit="1" customWidth="1"/>
    <col min="95" max="95" width="27.5546875" bestFit="1" customWidth="1"/>
    <col min="96" max="96" width="14.33203125" bestFit="1" customWidth="1"/>
    <col min="97" max="97" width="31.21875" bestFit="1" customWidth="1"/>
    <col min="98" max="98" width="20.109375" bestFit="1" customWidth="1"/>
    <col min="99" max="99" width="25.21875" bestFit="1" customWidth="1"/>
    <col min="100" max="100" width="32.77734375" bestFit="1" customWidth="1"/>
    <col min="101" max="101" width="46.77734375" bestFit="1" customWidth="1"/>
    <col min="102" max="102" width="32.109375" bestFit="1" customWidth="1"/>
    <col min="103" max="103" width="27.6640625" bestFit="1" customWidth="1"/>
    <col min="104" max="104" width="25.109375" bestFit="1" customWidth="1"/>
    <col min="105" max="105" width="20.6640625" bestFit="1" customWidth="1"/>
    <col min="106" max="106" width="21.6640625" bestFit="1" customWidth="1"/>
    <col min="107" max="107" width="27.109375" bestFit="1" customWidth="1"/>
    <col min="108" max="108" width="31.109375" bestFit="1" customWidth="1"/>
    <col min="109" max="109" width="29.21875" bestFit="1" customWidth="1"/>
    <col min="110" max="110" width="18.44140625" bestFit="1" customWidth="1"/>
    <col min="111" max="111" width="32.5546875" bestFit="1" customWidth="1"/>
    <col min="112" max="112" width="19.44140625" bestFit="1" customWidth="1"/>
    <col min="113" max="113" width="20.6640625" bestFit="1" customWidth="1"/>
    <col min="114" max="114" width="23.88671875" bestFit="1" customWidth="1"/>
    <col min="115" max="115" width="27.33203125" bestFit="1" customWidth="1"/>
    <col min="116" max="116" width="19.6640625" bestFit="1" customWidth="1"/>
    <col min="117" max="117" width="33.109375" bestFit="1" customWidth="1"/>
    <col min="118" max="118" width="22" bestFit="1" customWidth="1"/>
    <col min="119" max="119" width="29" bestFit="1" customWidth="1"/>
    <col min="120" max="120" width="21.109375" bestFit="1" customWidth="1"/>
    <col min="121" max="121" width="30.44140625" bestFit="1" customWidth="1"/>
    <col min="122" max="122" width="34.6640625" bestFit="1" customWidth="1"/>
    <col min="123" max="123" width="22.77734375" bestFit="1" customWidth="1"/>
    <col min="124" max="124" width="37.88671875" bestFit="1" customWidth="1"/>
    <col min="125" max="125" width="30.88671875" bestFit="1" customWidth="1"/>
    <col min="126" max="126" width="19.21875" bestFit="1" customWidth="1"/>
    <col min="127" max="127" width="22.6640625" bestFit="1" customWidth="1"/>
    <col min="128" max="128" width="20.33203125" bestFit="1" customWidth="1"/>
    <col min="129" max="129" width="19.5546875" bestFit="1" customWidth="1"/>
    <col min="130" max="130" width="18.33203125" bestFit="1" customWidth="1"/>
    <col min="131" max="131" width="22.88671875" bestFit="1" customWidth="1"/>
    <col min="132" max="132" width="21.33203125" bestFit="1" customWidth="1"/>
    <col min="133" max="133" width="46.88671875" bestFit="1" customWidth="1"/>
    <col min="134" max="134" width="24.5546875" bestFit="1" customWidth="1"/>
    <col min="135" max="135" width="31.33203125" bestFit="1" customWidth="1"/>
    <col min="136" max="136" width="34.21875" bestFit="1" customWidth="1"/>
    <col min="137" max="137" width="23.44140625" bestFit="1" customWidth="1"/>
    <col min="138" max="138" width="37.21875" bestFit="1" customWidth="1"/>
    <col min="139" max="139" width="33.44140625" bestFit="1" customWidth="1"/>
    <col min="140" max="140" width="32.5546875" bestFit="1" customWidth="1"/>
    <col min="141" max="141" width="20.6640625" bestFit="1" customWidth="1"/>
    <col min="142" max="142" width="31" bestFit="1" customWidth="1"/>
    <col min="143" max="143" width="20.44140625" bestFit="1" customWidth="1"/>
    <col min="144" max="144" width="20.88671875" bestFit="1" customWidth="1"/>
    <col min="145" max="146" width="26.5546875" bestFit="1" customWidth="1"/>
    <col min="147" max="147" width="27.5546875" bestFit="1" customWidth="1"/>
    <col min="148" max="148" width="22.6640625" bestFit="1" customWidth="1"/>
    <col min="149" max="149" width="27.21875" bestFit="1" customWidth="1"/>
    <col min="150" max="150" width="11.33203125" bestFit="1" customWidth="1"/>
    <col min="151" max="151" width="16.44140625" bestFit="1" customWidth="1"/>
    <col min="152" max="152" width="20.77734375" bestFit="1" customWidth="1"/>
    <col min="153" max="153" width="26" bestFit="1" customWidth="1"/>
    <col min="154" max="154" width="36" bestFit="1" customWidth="1"/>
    <col min="155" max="155" width="57.33203125" bestFit="1" customWidth="1"/>
    <col min="156" max="156" width="17.33203125" bestFit="1" customWidth="1"/>
    <col min="157" max="157" width="20.88671875" bestFit="1" customWidth="1"/>
    <col min="158" max="158" width="17.109375" bestFit="1" customWidth="1"/>
    <col min="159" max="159" width="26.109375" bestFit="1" customWidth="1"/>
    <col min="160" max="160" width="23" bestFit="1" customWidth="1"/>
    <col min="161" max="161" width="13.21875" bestFit="1" customWidth="1"/>
    <col min="162" max="162" width="25.6640625" bestFit="1" customWidth="1"/>
    <col min="163" max="163" width="40.33203125" bestFit="1" customWidth="1"/>
    <col min="164" max="164" width="23.44140625" bestFit="1" customWidth="1"/>
    <col min="165" max="165" width="17" bestFit="1" customWidth="1"/>
    <col min="166" max="166" width="20.21875" bestFit="1" customWidth="1"/>
    <col min="167" max="167" width="10.33203125" bestFit="1" customWidth="1"/>
    <col min="168" max="168" width="23.33203125" bestFit="1" customWidth="1"/>
    <col min="169" max="169" width="22.109375" bestFit="1" customWidth="1"/>
    <col min="170" max="170" width="31" bestFit="1" customWidth="1"/>
    <col min="171" max="171" width="25.5546875" bestFit="1" customWidth="1"/>
    <col min="172" max="172" width="25.77734375" bestFit="1" customWidth="1"/>
    <col min="173" max="173" width="26.21875" bestFit="1" customWidth="1"/>
    <col min="174" max="174" width="21.6640625" bestFit="1" customWidth="1"/>
    <col min="175" max="175" width="27.109375" bestFit="1" customWidth="1"/>
    <col min="176" max="176" width="25.77734375" bestFit="1" customWidth="1"/>
    <col min="177" max="177" width="23.77734375" bestFit="1" customWidth="1"/>
    <col min="178" max="178" width="19.21875" bestFit="1" customWidth="1"/>
    <col min="179" max="179" width="25.6640625" bestFit="1" customWidth="1"/>
    <col min="180" max="180" width="12.5546875" bestFit="1" customWidth="1"/>
    <col min="181" max="181" width="20.88671875" bestFit="1" customWidth="1"/>
    <col min="182" max="182" width="35.6640625" bestFit="1" customWidth="1"/>
    <col min="183" max="183" width="19.5546875" bestFit="1" customWidth="1"/>
    <col min="184" max="184" width="24.5546875" bestFit="1" customWidth="1"/>
    <col min="185" max="185" width="22.33203125" bestFit="1" customWidth="1"/>
    <col min="186" max="186" width="24.77734375" bestFit="1" customWidth="1"/>
    <col min="187" max="187" width="36" bestFit="1" customWidth="1"/>
    <col min="188" max="188" width="32.77734375" bestFit="1" customWidth="1"/>
    <col min="189" max="189" width="28.5546875" bestFit="1" customWidth="1"/>
    <col min="190" max="190" width="34.109375" bestFit="1" customWidth="1"/>
    <col min="191" max="191" width="21" bestFit="1" customWidth="1"/>
    <col min="192" max="192" width="34.6640625" bestFit="1" customWidth="1"/>
    <col min="193" max="193" width="29.33203125" bestFit="1" customWidth="1"/>
    <col min="194" max="194" width="26.44140625" bestFit="1" customWidth="1"/>
    <col min="195" max="195" width="22.6640625" bestFit="1" customWidth="1"/>
    <col min="196" max="196" width="28.44140625" bestFit="1" customWidth="1"/>
    <col min="197" max="197" width="27.109375" bestFit="1" customWidth="1"/>
    <col min="198" max="198" width="36.6640625" bestFit="1" customWidth="1"/>
    <col min="199" max="199" width="16.88671875" bestFit="1" customWidth="1"/>
    <col min="200" max="200" width="20.88671875" bestFit="1" customWidth="1"/>
    <col min="201" max="201" width="25.109375" bestFit="1" customWidth="1"/>
    <col min="202" max="202" width="27.5546875" bestFit="1" customWidth="1"/>
    <col min="203" max="203" width="14.33203125" bestFit="1" customWidth="1"/>
    <col min="204" max="204" width="31.21875" bestFit="1" customWidth="1"/>
    <col min="205" max="205" width="20.109375" bestFit="1" customWidth="1"/>
    <col min="206" max="206" width="25.21875" bestFit="1" customWidth="1"/>
    <col min="207" max="207" width="32.77734375" bestFit="1" customWidth="1"/>
    <col min="208" max="208" width="46.77734375" bestFit="1" customWidth="1"/>
    <col min="209" max="209" width="32.109375" bestFit="1" customWidth="1"/>
    <col min="210" max="210" width="27.6640625" bestFit="1" customWidth="1"/>
    <col min="211" max="211" width="25.109375" bestFit="1" customWidth="1"/>
    <col min="212" max="212" width="20.6640625" bestFit="1" customWidth="1"/>
    <col min="213" max="213" width="21.6640625" bestFit="1" customWidth="1"/>
    <col min="214" max="214" width="27.109375" bestFit="1" customWidth="1"/>
    <col min="215" max="215" width="31.109375" bestFit="1" customWidth="1"/>
    <col min="216" max="216" width="18.21875" bestFit="1" customWidth="1"/>
    <col min="217" max="217" width="25.77734375" bestFit="1" customWidth="1"/>
  </cols>
  <sheetData>
    <row r="1" spans="1:3" x14ac:dyDescent="0.5">
      <c r="A1" s="6" t="s">
        <v>7</v>
      </c>
      <c r="B1" s="1" t="s">
        <v>783</v>
      </c>
    </row>
    <row r="3" spans="1:3" ht="21.6" x14ac:dyDescent="0.5">
      <c r="A3" s="9" t="s">
        <v>789</v>
      </c>
      <c r="B3" s="10" t="s">
        <v>793</v>
      </c>
      <c r="C3" s="10" t="s">
        <v>786</v>
      </c>
    </row>
    <row r="4" spans="1:3" x14ac:dyDescent="0.5">
      <c r="A4" s="1" t="s">
        <v>302</v>
      </c>
      <c r="B4" s="14">
        <v>1</v>
      </c>
      <c r="C4" s="15">
        <v>45942</v>
      </c>
    </row>
    <row r="5" spans="1:3" x14ac:dyDescent="0.5">
      <c r="A5" s="1" t="s">
        <v>12</v>
      </c>
      <c r="B5" s="1">
        <v>1</v>
      </c>
      <c r="C5" s="1">
        <v>45942</v>
      </c>
    </row>
    <row r="6" spans="1:3" x14ac:dyDescent="0.5">
      <c r="A6" s="1" t="s">
        <v>85</v>
      </c>
      <c r="B6" s="1">
        <v>2</v>
      </c>
      <c r="C6" s="1">
        <v>61192</v>
      </c>
    </row>
    <row r="7" spans="1:3" x14ac:dyDescent="0.5">
      <c r="A7" s="1" t="s">
        <v>782</v>
      </c>
      <c r="B7" s="1">
        <v>2</v>
      </c>
      <c r="C7" s="1">
        <v>61192</v>
      </c>
    </row>
    <row r="8" spans="1:3" x14ac:dyDescent="0.5">
      <c r="A8" s="1" t="s">
        <v>214</v>
      </c>
      <c r="B8" s="1">
        <v>8</v>
      </c>
      <c r="C8" s="1">
        <v>234</v>
      </c>
    </row>
    <row r="9" spans="1:3" x14ac:dyDescent="0.5">
      <c r="A9" s="1" t="s">
        <v>18</v>
      </c>
      <c r="B9" s="1">
        <v>8</v>
      </c>
      <c r="C9" s="1">
        <v>234</v>
      </c>
    </row>
    <row r="10" spans="1:3" x14ac:dyDescent="0.5">
      <c r="A10" s="1" t="s">
        <v>248</v>
      </c>
      <c r="B10" s="1">
        <v>1</v>
      </c>
      <c r="C10" s="1">
        <v>58120</v>
      </c>
    </row>
    <row r="11" spans="1:3" x14ac:dyDescent="0.5">
      <c r="A11" s="1" t="s">
        <v>12</v>
      </c>
      <c r="B11" s="1">
        <v>1</v>
      </c>
      <c r="C11" s="1">
        <v>58120</v>
      </c>
    </row>
    <row r="12" spans="1:3" x14ac:dyDescent="0.5">
      <c r="A12" s="1" t="s">
        <v>715</v>
      </c>
      <c r="B12" s="1">
        <v>2</v>
      </c>
      <c r="C12" s="1">
        <v>16551</v>
      </c>
    </row>
    <row r="13" spans="1:3" x14ac:dyDescent="0.5">
      <c r="A13" s="1" t="s">
        <v>9</v>
      </c>
      <c r="B13" s="1">
        <v>2</v>
      </c>
      <c r="C13" s="1">
        <v>16551</v>
      </c>
    </row>
    <row r="14" spans="1:3" x14ac:dyDescent="0.5">
      <c r="A14" s="1" t="s">
        <v>65</v>
      </c>
      <c r="B14" s="1">
        <v>1</v>
      </c>
      <c r="C14" s="1">
        <v>344</v>
      </c>
    </row>
    <row r="15" spans="1:3" x14ac:dyDescent="0.5">
      <c r="A15" s="1" t="s">
        <v>23</v>
      </c>
      <c r="B15" s="1">
        <v>1</v>
      </c>
      <c r="C15" s="1">
        <v>344</v>
      </c>
    </row>
    <row r="16" spans="1:3" x14ac:dyDescent="0.5">
      <c r="A16" s="1" t="s">
        <v>497</v>
      </c>
      <c r="B16" s="1">
        <v>5</v>
      </c>
      <c r="C16" s="1">
        <v>25</v>
      </c>
    </row>
    <row r="17" spans="1:3" x14ac:dyDescent="0.5">
      <c r="A17" s="1" t="s">
        <v>498</v>
      </c>
      <c r="B17" s="1">
        <v>5</v>
      </c>
      <c r="C17" s="1">
        <v>25</v>
      </c>
    </row>
    <row r="18" spans="1:3" x14ac:dyDescent="0.5">
      <c r="A18" s="1" t="s">
        <v>637</v>
      </c>
      <c r="B18" s="1">
        <v>1</v>
      </c>
      <c r="C18" s="1">
        <v>65858</v>
      </c>
    </row>
    <row r="19" spans="1:3" x14ac:dyDescent="0.5">
      <c r="A19" s="1" t="s">
        <v>782</v>
      </c>
      <c r="B19" s="1">
        <v>1</v>
      </c>
      <c r="C19" s="1">
        <v>65858</v>
      </c>
    </row>
    <row r="20" spans="1:3" x14ac:dyDescent="0.5">
      <c r="A20" s="1" t="s">
        <v>179</v>
      </c>
      <c r="B20" s="1">
        <v>11</v>
      </c>
      <c r="C20" s="1">
        <v>209</v>
      </c>
    </row>
    <row r="21" spans="1:3" x14ac:dyDescent="0.5">
      <c r="A21" s="1" t="s">
        <v>108</v>
      </c>
      <c r="B21" s="1">
        <v>5</v>
      </c>
      <c r="C21" s="1">
        <v>118</v>
      </c>
    </row>
    <row r="22" spans="1:3" x14ac:dyDescent="0.5">
      <c r="A22" s="1" t="s">
        <v>39</v>
      </c>
      <c r="B22" s="1">
        <v>6</v>
      </c>
      <c r="C22" s="1">
        <v>91</v>
      </c>
    </row>
    <row r="23" spans="1:3" x14ac:dyDescent="0.5">
      <c r="A23" s="1" t="s">
        <v>480</v>
      </c>
      <c r="B23" s="1">
        <v>1</v>
      </c>
      <c r="C23" s="1">
        <v>27019</v>
      </c>
    </row>
    <row r="24" spans="1:3" x14ac:dyDescent="0.5">
      <c r="A24" s="1" t="s">
        <v>9</v>
      </c>
      <c r="B24" s="1">
        <v>1</v>
      </c>
      <c r="C24" s="1">
        <v>27019</v>
      </c>
    </row>
    <row r="25" spans="1:3" x14ac:dyDescent="0.5">
      <c r="A25" s="1" t="s">
        <v>28</v>
      </c>
      <c r="B25" s="1">
        <v>5</v>
      </c>
      <c r="C25" s="1">
        <v>531</v>
      </c>
    </row>
    <row r="26" spans="1:3" x14ac:dyDescent="0.5">
      <c r="A26" s="1" t="s">
        <v>29</v>
      </c>
      <c r="B26" s="1">
        <v>5</v>
      </c>
      <c r="C26" s="1">
        <v>531</v>
      </c>
    </row>
    <row r="27" spans="1:3" x14ac:dyDescent="0.5">
      <c r="A27" s="1" t="s">
        <v>263</v>
      </c>
      <c r="B27" s="1">
        <v>5</v>
      </c>
      <c r="C27" s="1">
        <v>224</v>
      </c>
    </row>
    <row r="28" spans="1:3" x14ac:dyDescent="0.5">
      <c r="A28" s="1" t="s">
        <v>264</v>
      </c>
      <c r="B28" s="1">
        <v>5</v>
      </c>
      <c r="C28" s="1">
        <v>224</v>
      </c>
    </row>
    <row r="29" spans="1:3" x14ac:dyDescent="0.5">
      <c r="A29" s="1" t="s">
        <v>372</v>
      </c>
      <c r="B29" s="1">
        <v>1</v>
      </c>
      <c r="C29" s="1">
        <v>6773</v>
      </c>
    </row>
    <row r="30" spans="1:3" x14ac:dyDescent="0.5">
      <c r="A30" s="1" t="s">
        <v>9</v>
      </c>
      <c r="B30" s="1">
        <v>1</v>
      </c>
      <c r="C30" s="1">
        <v>6773</v>
      </c>
    </row>
    <row r="31" spans="1:3" x14ac:dyDescent="0.5">
      <c r="A31" s="1" t="s">
        <v>754</v>
      </c>
      <c r="B31" s="1">
        <v>3</v>
      </c>
      <c r="C31" s="1">
        <v>67637</v>
      </c>
    </row>
    <row r="32" spans="1:3" x14ac:dyDescent="0.5">
      <c r="A32" s="1" t="s">
        <v>12</v>
      </c>
      <c r="B32" s="1">
        <v>3</v>
      </c>
      <c r="C32" s="1">
        <v>67637</v>
      </c>
    </row>
    <row r="33" spans="1:3" x14ac:dyDescent="0.5">
      <c r="A33" s="1" t="s">
        <v>732</v>
      </c>
      <c r="B33" s="1">
        <v>7</v>
      </c>
      <c r="C33" s="1">
        <v>46</v>
      </c>
    </row>
    <row r="34" spans="1:3" x14ac:dyDescent="0.5">
      <c r="A34" s="1" t="s">
        <v>39</v>
      </c>
      <c r="B34" s="1">
        <v>7</v>
      </c>
      <c r="C34" s="1">
        <v>46</v>
      </c>
    </row>
    <row r="35" spans="1:3" x14ac:dyDescent="0.5">
      <c r="A35" s="1" t="s">
        <v>139</v>
      </c>
      <c r="B35" s="1">
        <v>5</v>
      </c>
      <c r="C35" s="1">
        <v>208</v>
      </c>
    </row>
    <row r="36" spans="1:3" x14ac:dyDescent="0.5">
      <c r="A36" s="1" t="s">
        <v>140</v>
      </c>
      <c r="B36" s="1">
        <v>5</v>
      </c>
      <c r="C36" s="1">
        <v>208</v>
      </c>
    </row>
    <row r="37" spans="1:3" x14ac:dyDescent="0.5">
      <c r="A37" s="1" t="s">
        <v>693</v>
      </c>
      <c r="B37" s="1">
        <v>5</v>
      </c>
      <c r="C37" s="1">
        <v>277</v>
      </c>
    </row>
    <row r="38" spans="1:3" x14ac:dyDescent="0.5">
      <c r="A38" s="1" t="s">
        <v>60</v>
      </c>
      <c r="B38" s="1">
        <v>5</v>
      </c>
      <c r="C38" s="1">
        <v>277</v>
      </c>
    </row>
    <row r="39" spans="1:3" x14ac:dyDescent="0.5">
      <c r="A39" s="1" t="s">
        <v>109</v>
      </c>
      <c r="B39" s="1">
        <v>9</v>
      </c>
      <c r="C39" s="1">
        <v>104</v>
      </c>
    </row>
    <row r="40" spans="1:3" x14ac:dyDescent="0.5">
      <c r="A40" s="1" t="s">
        <v>18</v>
      </c>
      <c r="B40" s="1">
        <v>9</v>
      </c>
      <c r="C40" s="1">
        <v>104</v>
      </c>
    </row>
    <row r="41" spans="1:3" x14ac:dyDescent="0.5">
      <c r="A41" s="1" t="s">
        <v>727</v>
      </c>
      <c r="B41" s="1">
        <v>1</v>
      </c>
      <c r="C41" s="1">
        <v>79987</v>
      </c>
    </row>
    <row r="42" spans="1:3" x14ac:dyDescent="0.5">
      <c r="A42" s="1" t="s">
        <v>782</v>
      </c>
      <c r="B42" s="1">
        <v>1</v>
      </c>
      <c r="C42" s="1">
        <v>79987</v>
      </c>
    </row>
    <row r="43" spans="1:3" x14ac:dyDescent="0.5">
      <c r="A43" s="1" t="s">
        <v>779</v>
      </c>
      <c r="B43" s="1">
        <v>13</v>
      </c>
      <c r="C43" s="1">
        <v>1006</v>
      </c>
    </row>
    <row r="44" spans="1:3" x14ac:dyDescent="0.5">
      <c r="A44" s="1" t="s">
        <v>18</v>
      </c>
      <c r="B44" s="1">
        <v>13</v>
      </c>
      <c r="C44" s="1">
        <v>1006</v>
      </c>
    </row>
    <row r="45" spans="1:3" x14ac:dyDescent="0.5">
      <c r="A45" s="1" t="s">
        <v>84</v>
      </c>
      <c r="B45" s="1">
        <v>1</v>
      </c>
      <c r="C45" s="1">
        <v>46029</v>
      </c>
    </row>
    <row r="46" spans="1:3" x14ac:dyDescent="0.5">
      <c r="A46" s="1" t="s">
        <v>12</v>
      </c>
      <c r="B46" s="1">
        <v>1</v>
      </c>
      <c r="C46" s="1">
        <v>46029</v>
      </c>
    </row>
    <row r="47" spans="1:3" x14ac:dyDescent="0.5">
      <c r="A47" s="1" t="s">
        <v>703</v>
      </c>
      <c r="B47" s="1">
        <v>5</v>
      </c>
      <c r="C47" s="1">
        <v>48</v>
      </c>
    </row>
    <row r="48" spans="1:3" x14ac:dyDescent="0.5">
      <c r="A48" s="1" t="s">
        <v>704</v>
      </c>
      <c r="B48" s="1">
        <v>5</v>
      </c>
      <c r="C48" s="1">
        <v>48</v>
      </c>
    </row>
    <row r="49" spans="1:3" x14ac:dyDescent="0.5">
      <c r="A49" s="1" t="s">
        <v>216</v>
      </c>
      <c r="B49" s="1">
        <v>1</v>
      </c>
      <c r="C49" s="1">
        <v>38693</v>
      </c>
    </row>
    <row r="50" spans="1:3" x14ac:dyDescent="0.5">
      <c r="A50" s="1" t="s">
        <v>12</v>
      </c>
      <c r="B50" s="1">
        <v>1</v>
      </c>
      <c r="C50" s="1">
        <v>38693</v>
      </c>
    </row>
    <row r="51" spans="1:3" x14ac:dyDescent="0.5">
      <c r="A51" s="1" t="s">
        <v>621</v>
      </c>
      <c r="B51" s="1">
        <v>1</v>
      </c>
      <c r="C51" s="1">
        <v>7230</v>
      </c>
    </row>
    <row r="52" spans="1:3" x14ac:dyDescent="0.5">
      <c r="A52" s="1" t="s">
        <v>9</v>
      </c>
      <c r="B52" s="1">
        <v>1</v>
      </c>
      <c r="C52" s="1">
        <v>7230</v>
      </c>
    </row>
    <row r="53" spans="1:3" x14ac:dyDescent="0.5">
      <c r="A53" s="1" t="s">
        <v>753</v>
      </c>
      <c r="B53" s="1">
        <v>1</v>
      </c>
      <c r="C53" s="1">
        <v>11763</v>
      </c>
    </row>
    <row r="54" spans="1:3" x14ac:dyDescent="0.5">
      <c r="A54" s="1" t="s">
        <v>9</v>
      </c>
      <c r="B54" s="1">
        <v>1</v>
      </c>
      <c r="C54" s="1">
        <v>11763</v>
      </c>
    </row>
    <row r="55" spans="1:3" x14ac:dyDescent="0.5">
      <c r="A55" s="1" t="s">
        <v>559</v>
      </c>
      <c r="B55" s="1">
        <v>1</v>
      </c>
      <c r="C55" s="1">
        <v>4392</v>
      </c>
    </row>
    <row r="56" spans="1:3" x14ac:dyDescent="0.5">
      <c r="A56" s="1" t="s">
        <v>9</v>
      </c>
      <c r="B56" s="1">
        <v>1</v>
      </c>
      <c r="C56" s="1">
        <v>4392</v>
      </c>
    </row>
    <row r="57" spans="1:3" x14ac:dyDescent="0.5">
      <c r="A57" s="1" t="s">
        <v>343</v>
      </c>
      <c r="B57" s="1">
        <v>12</v>
      </c>
      <c r="C57" s="1">
        <v>183</v>
      </c>
    </row>
    <row r="58" spans="1:3" x14ac:dyDescent="0.5">
      <c r="A58" s="1" t="s">
        <v>18</v>
      </c>
      <c r="B58" s="1">
        <v>12</v>
      </c>
      <c r="C58" s="1">
        <v>183</v>
      </c>
    </row>
    <row r="59" spans="1:3" x14ac:dyDescent="0.5">
      <c r="A59" s="1" t="s">
        <v>359</v>
      </c>
      <c r="B59" s="1">
        <v>12</v>
      </c>
      <c r="C59" s="1">
        <v>286</v>
      </c>
    </row>
    <row r="60" spans="1:3" x14ac:dyDescent="0.5">
      <c r="A60" s="1" t="s">
        <v>18</v>
      </c>
      <c r="B60" s="1">
        <v>12</v>
      </c>
      <c r="C60" s="1">
        <v>286</v>
      </c>
    </row>
    <row r="61" spans="1:3" x14ac:dyDescent="0.5">
      <c r="A61" s="1" t="s">
        <v>596</v>
      </c>
      <c r="B61" s="1">
        <v>1</v>
      </c>
      <c r="C61" s="1">
        <v>88943</v>
      </c>
    </row>
    <row r="62" spans="1:3" x14ac:dyDescent="0.5">
      <c r="A62" s="1" t="s">
        <v>12</v>
      </c>
      <c r="B62" s="1">
        <v>1</v>
      </c>
      <c r="C62" s="1">
        <v>88943</v>
      </c>
    </row>
    <row r="63" spans="1:3" x14ac:dyDescent="0.5">
      <c r="A63" s="1" t="s">
        <v>253</v>
      </c>
      <c r="B63" s="1">
        <v>6</v>
      </c>
      <c r="C63" s="1">
        <v>93</v>
      </c>
    </row>
    <row r="64" spans="1:3" x14ac:dyDescent="0.5">
      <c r="A64" s="1" t="s">
        <v>18</v>
      </c>
      <c r="B64" s="1">
        <v>6</v>
      </c>
      <c r="C64" s="1">
        <v>93</v>
      </c>
    </row>
    <row r="65" spans="1:3" x14ac:dyDescent="0.5">
      <c r="A65" s="1" t="s">
        <v>666</v>
      </c>
      <c r="B65" s="1">
        <v>2</v>
      </c>
      <c r="C65" s="1">
        <v>552</v>
      </c>
    </row>
    <row r="66" spans="1:3" x14ac:dyDescent="0.5">
      <c r="A66" s="1" t="s">
        <v>23</v>
      </c>
      <c r="B66" s="1">
        <v>2</v>
      </c>
      <c r="C66" s="1">
        <v>552</v>
      </c>
    </row>
    <row r="67" spans="1:3" x14ac:dyDescent="0.5">
      <c r="A67" s="1" t="s">
        <v>614</v>
      </c>
      <c r="B67" s="1">
        <v>1</v>
      </c>
      <c r="C67" s="1">
        <v>6147</v>
      </c>
    </row>
    <row r="68" spans="1:3" x14ac:dyDescent="0.5">
      <c r="A68" s="1" t="s">
        <v>9</v>
      </c>
      <c r="B68" s="1">
        <v>1</v>
      </c>
      <c r="C68" s="1">
        <v>6147</v>
      </c>
    </row>
    <row r="69" spans="1:3" x14ac:dyDescent="0.5">
      <c r="A69" s="1" t="s">
        <v>624</v>
      </c>
      <c r="B69" s="1">
        <v>5</v>
      </c>
      <c r="C69" s="1">
        <v>100</v>
      </c>
    </row>
    <row r="70" spans="1:3" x14ac:dyDescent="0.5">
      <c r="A70" s="1" t="s">
        <v>14</v>
      </c>
      <c r="B70" s="1">
        <v>5</v>
      </c>
      <c r="C70" s="1">
        <v>100</v>
      </c>
    </row>
    <row r="71" spans="1:3" x14ac:dyDescent="0.5">
      <c r="A71" s="1" t="s">
        <v>705</v>
      </c>
      <c r="B71" s="1">
        <v>7</v>
      </c>
      <c r="C71" s="1">
        <v>43</v>
      </c>
    </row>
    <row r="72" spans="1:3" x14ac:dyDescent="0.5">
      <c r="A72" s="1" t="s">
        <v>309</v>
      </c>
      <c r="B72" s="1">
        <v>7</v>
      </c>
      <c r="C72" s="1">
        <v>43</v>
      </c>
    </row>
    <row r="73" spans="1:3" x14ac:dyDescent="0.5">
      <c r="A73" s="1" t="s">
        <v>180</v>
      </c>
      <c r="B73" s="1">
        <v>6</v>
      </c>
      <c r="C73" s="1">
        <v>92</v>
      </c>
    </row>
    <row r="74" spans="1:3" x14ac:dyDescent="0.5">
      <c r="A74" s="1" t="s">
        <v>57</v>
      </c>
      <c r="B74" s="1">
        <v>6</v>
      </c>
      <c r="C74" s="1">
        <v>92</v>
      </c>
    </row>
    <row r="75" spans="1:3" x14ac:dyDescent="0.5">
      <c r="A75" s="1" t="s">
        <v>572</v>
      </c>
      <c r="B75" s="1">
        <v>1</v>
      </c>
      <c r="C75" s="1">
        <v>1606</v>
      </c>
    </row>
    <row r="76" spans="1:3" x14ac:dyDescent="0.5">
      <c r="A76" s="1" t="s">
        <v>23</v>
      </c>
      <c r="B76" s="1">
        <v>1</v>
      </c>
      <c r="C76" s="1">
        <v>1606</v>
      </c>
    </row>
    <row r="77" spans="1:3" x14ac:dyDescent="0.5">
      <c r="A77" s="1" t="s">
        <v>418</v>
      </c>
      <c r="B77" s="1">
        <v>9</v>
      </c>
      <c r="C77" s="1">
        <v>113</v>
      </c>
    </row>
    <row r="78" spans="1:3" x14ac:dyDescent="0.5">
      <c r="A78" s="1" t="s">
        <v>18</v>
      </c>
      <c r="B78" s="1">
        <v>9</v>
      </c>
      <c r="C78" s="1">
        <v>113</v>
      </c>
    </row>
    <row r="79" spans="1:3" x14ac:dyDescent="0.5">
      <c r="A79" s="1" t="s">
        <v>131</v>
      </c>
      <c r="B79" s="1">
        <v>10</v>
      </c>
      <c r="C79" s="1">
        <v>115</v>
      </c>
    </row>
    <row r="80" spans="1:3" x14ac:dyDescent="0.5">
      <c r="A80" s="1" t="s">
        <v>18</v>
      </c>
      <c r="B80" s="1">
        <v>10</v>
      </c>
      <c r="C80" s="1">
        <v>115</v>
      </c>
    </row>
    <row r="81" spans="1:3" x14ac:dyDescent="0.5">
      <c r="A81" s="1" t="s">
        <v>226</v>
      </c>
      <c r="B81" s="1">
        <v>1</v>
      </c>
      <c r="C81" s="1">
        <v>10057</v>
      </c>
    </row>
    <row r="82" spans="1:3" x14ac:dyDescent="0.5">
      <c r="A82" s="1" t="s">
        <v>9</v>
      </c>
      <c r="B82" s="1">
        <v>1</v>
      </c>
      <c r="C82" s="1">
        <v>10057</v>
      </c>
    </row>
    <row r="83" spans="1:3" x14ac:dyDescent="0.5">
      <c r="A83" s="1" t="s">
        <v>135</v>
      </c>
      <c r="B83" s="1">
        <v>1</v>
      </c>
      <c r="C83" s="1">
        <v>105780</v>
      </c>
    </row>
    <row r="84" spans="1:3" x14ac:dyDescent="0.5">
      <c r="A84" s="1" t="s">
        <v>12</v>
      </c>
      <c r="B84" s="1">
        <v>1</v>
      </c>
      <c r="C84" s="1">
        <v>105780</v>
      </c>
    </row>
    <row r="85" spans="1:3" x14ac:dyDescent="0.5">
      <c r="A85" s="1" t="s">
        <v>26</v>
      </c>
      <c r="B85" s="1">
        <v>4</v>
      </c>
      <c r="C85" s="1">
        <v>869</v>
      </c>
    </row>
    <row r="86" spans="1:3" x14ac:dyDescent="0.5">
      <c r="A86" s="1" t="s">
        <v>27</v>
      </c>
      <c r="B86" s="1">
        <v>4</v>
      </c>
      <c r="C86" s="1">
        <v>869</v>
      </c>
    </row>
    <row r="87" spans="1:3" x14ac:dyDescent="0.5">
      <c r="A87" s="1" t="s">
        <v>473</v>
      </c>
      <c r="B87" s="1">
        <v>17</v>
      </c>
      <c r="C87" s="1">
        <v>17324</v>
      </c>
    </row>
    <row r="88" spans="1:3" x14ac:dyDescent="0.5">
      <c r="A88" s="1" t="s">
        <v>16</v>
      </c>
      <c r="B88" s="1">
        <v>6</v>
      </c>
      <c r="C88" s="1">
        <v>654</v>
      </c>
    </row>
    <row r="89" spans="1:3" x14ac:dyDescent="0.5">
      <c r="A89" s="1" t="s">
        <v>474</v>
      </c>
      <c r="B89" s="1">
        <v>5</v>
      </c>
      <c r="C89" s="1">
        <v>74</v>
      </c>
    </row>
    <row r="90" spans="1:3" x14ac:dyDescent="0.5">
      <c r="A90" s="1" t="s">
        <v>9</v>
      </c>
      <c r="B90" s="1">
        <v>1</v>
      </c>
      <c r="C90" s="1">
        <v>16549</v>
      </c>
    </row>
    <row r="91" spans="1:3" x14ac:dyDescent="0.5">
      <c r="A91" s="1" t="s">
        <v>76</v>
      </c>
      <c r="B91" s="1">
        <v>5</v>
      </c>
      <c r="C91" s="1">
        <v>47</v>
      </c>
    </row>
    <row r="92" spans="1:3" x14ac:dyDescent="0.5">
      <c r="A92" s="1" t="s">
        <v>493</v>
      </c>
      <c r="B92" s="1">
        <v>1</v>
      </c>
      <c r="C92" s="1">
        <v>43260</v>
      </c>
    </row>
    <row r="93" spans="1:3" x14ac:dyDescent="0.5">
      <c r="A93" s="1" t="s">
        <v>782</v>
      </c>
      <c r="B93" s="1">
        <v>1</v>
      </c>
      <c r="C93" s="1">
        <v>43260</v>
      </c>
    </row>
    <row r="94" spans="1:3" x14ac:dyDescent="0.5">
      <c r="A94" s="1" t="s">
        <v>714</v>
      </c>
      <c r="B94" s="1">
        <v>1</v>
      </c>
      <c r="C94" s="1">
        <v>36532</v>
      </c>
    </row>
    <row r="95" spans="1:3" x14ac:dyDescent="0.5">
      <c r="A95" s="1" t="s">
        <v>782</v>
      </c>
      <c r="B95" s="1">
        <v>1</v>
      </c>
      <c r="C95" s="1">
        <v>36532</v>
      </c>
    </row>
    <row r="96" spans="1:3" x14ac:dyDescent="0.5">
      <c r="A96" s="1" t="s">
        <v>13</v>
      </c>
      <c r="B96" s="1">
        <v>4</v>
      </c>
      <c r="C96" s="1">
        <v>328</v>
      </c>
    </row>
    <row r="97" spans="1:3" x14ac:dyDescent="0.5">
      <c r="A97" s="1" t="s">
        <v>14</v>
      </c>
      <c r="B97" s="1">
        <v>4</v>
      </c>
      <c r="C97" s="1">
        <v>328</v>
      </c>
    </row>
    <row r="98" spans="1:3" x14ac:dyDescent="0.5">
      <c r="A98" s="1" t="s">
        <v>734</v>
      </c>
      <c r="B98" s="1">
        <v>1</v>
      </c>
      <c r="C98" s="1">
        <v>57198</v>
      </c>
    </row>
    <row r="99" spans="1:3" x14ac:dyDescent="0.5">
      <c r="A99" s="1" t="s">
        <v>782</v>
      </c>
      <c r="B99" s="1">
        <v>1</v>
      </c>
      <c r="C99" s="1">
        <v>57198</v>
      </c>
    </row>
    <row r="100" spans="1:3" x14ac:dyDescent="0.5">
      <c r="A100" s="1" t="s">
        <v>731</v>
      </c>
      <c r="B100" s="1">
        <v>5</v>
      </c>
      <c r="C100" s="1">
        <v>56</v>
      </c>
    </row>
    <row r="101" spans="1:3" x14ac:dyDescent="0.5">
      <c r="A101" s="1" t="s">
        <v>309</v>
      </c>
      <c r="B101" s="1">
        <v>5</v>
      </c>
      <c r="C101" s="1">
        <v>56</v>
      </c>
    </row>
    <row r="102" spans="1:3" x14ac:dyDescent="0.5">
      <c r="A102" s="1" t="s">
        <v>641</v>
      </c>
      <c r="B102" s="1">
        <v>5</v>
      </c>
      <c r="C102" s="1">
        <v>45</v>
      </c>
    </row>
    <row r="103" spans="1:3" x14ac:dyDescent="0.5">
      <c r="A103" s="1" t="s">
        <v>33</v>
      </c>
      <c r="B103" s="1">
        <v>5</v>
      </c>
      <c r="C103" s="1">
        <v>45</v>
      </c>
    </row>
    <row r="104" spans="1:3" x14ac:dyDescent="0.5">
      <c r="A104" s="1" t="s">
        <v>462</v>
      </c>
      <c r="B104" s="1">
        <v>17</v>
      </c>
      <c r="C104" s="1">
        <v>55</v>
      </c>
    </row>
    <row r="105" spans="1:3" x14ac:dyDescent="0.5">
      <c r="A105" s="1" t="s">
        <v>18</v>
      </c>
      <c r="B105" s="1">
        <v>17</v>
      </c>
      <c r="C105" s="1">
        <v>55</v>
      </c>
    </row>
    <row r="106" spans="1:3" x14ac:dyDescent="0.5">
      <c r="A106" s="1" t="s">
        <v>230</v>
      </c>
      <c r="B106" s="1">
        <v>5</v>
      </c>
      <c r="C106" s="1">
        <v>123</v>
      </c>
    </row>
    <row r="107" spans="1:3" x14ac:dyDescent="0.5">
      <c r="A107" s="1" t="s">
        <v>106</v>
      </c>
      <c r="B107" s="1">
        <v>5</v>
      </c>
      <c r="C107" s="1">
        <v>123</v>
      </c>
    </row>
    <row r="108" spans="1:3" x14ac:dyDescent="0.5">
      <c r="A108" s="1" t="s">
        <v>615</v>
      </c>
      <c r="B108" s="1">
        <v>2</v>
      </c>
      <c r="C108" s="1">
        <v>57825</v>
      </c>
    </row>
    <row r="109" spans="1:3" x14ac:dyDescent="0.5">
      <c r="A109" s="1" t="s">
        <v>12</v>
      </c>
      <c r="B109" s="1">
        <v>2</v>
      </c>
      <c r="C109" s="1">
        <v>57825</v>
      </c>
    </row>
    <row r="110" spans="1:3" x14ac:dyDescent="0.5">
      <c r="A110" s="1" t="s">
        <v>463</v>
      </c>
      <c r="B110" s="1">
        <v>18</v>
      </c>
      <c r="C110" s="1">
        <v>72</v>
      </c>
    </row>
    <row r="111" spans="1:3" x14ac:dyDescent="0.5">
      <c r="A111" s="1" t="s">
        <v>18</v>
      </c>
      <c r="B111" s="1">
        <v>18</v>
      </c>
      <c r="C111" s="1">
        <v>72</v>
      </c>
    </row>
    <row r="112" spans="1:3" x14ac:dyDescent="0.5">
      <c r="A112" s="1" t="s">
        <v>653</v>
      </c>
      <c r="B112" s="1">
        <v>13</v>
      </c>
      <c r="C112" s="1">
        <v>48</v>
      </c>
    </row>
    <row r="113" spans="1:3" x14ac:dyDescent="0.5">
      <c r="A113" s="1" t="s">
        <v>18</v>
      </c>
      <c r="B113" s="1">
        <v>13</v>
      </c>
      <c r="C113" s="1">
        <v>48</v>
      </c>
    </row>
    <row r="114" spans="1:3" x14ac:dyDescent="0.5">
      <c r="A114" s="1" t="s">
        <v>376</v>
      </c>
      <c r="B114" s="1">
        <v>5</v>
      </c>
      <c r="C114" s="1">
        <v>131</v>
      </c>
    </row>
    <row r="115" spans="1:3" x14ac:dyDescent="0.5">
      <c r="A115" s="1" t="s">
        <v>336</v>
      </c>
      <c r="B115" s="1">
        <v>5</v>
      </c>
      <c r="C115" s="1">
        <v>131</v>
      </c>
    </row>
    <row r="116" spans="1:3" x14ac:dyDescent="0.5">
      <c r="A116" s="1" t="s">
        <v>597</v>
      </c>
      <c r="B116" s="1">
        <v>2</v>
      </c>
      <c r="C116" s="1">
        <v>12739</v>
      </c>
    </row>
    <row r="117" spans="1:3" x14ac:dyDescent="0.5">
      <c r="A117" s="1" t="s">
        <v>9</v>
      </c>
      <c r="B117" s="1">
        <v>2</v>
      </c>
      <c r="C117" s="1">
        <v>12739</v>
      </c>
    </row>
    <row r="118" spans="1:3" x14ac:dyDescent="0.5">
      <c r="A118" s="1" t="s">
        <v>582</v>
      </c>
      <c r="B118" s="1">
        <v>1</v>
      </c>
      <c r="C118" s="1">
        <v>3145</v>
      </c>
    </row>
    <row r="119" spans="1:3" x14ac:dyDescent="0.5">
      <c r="A119" s="1" t="s">
        <v>9</v>
      </c>
      <c r="B119" s="1">
        <v>1</v>
      </c>
      <c r="C119" s="1">
        <v>3145</v>
      </c>
    </row>
    <row r="120" spans="1:3" x14ac:dyDescent="0.5">
      <c r="A120" s="1" t="s">
        <v>538</v>
      </c>
      <c r="B120" s="1">
        <v>5</v>
      </c>
      <c r="C120" s="1">
        <v>302</v>
      </c>
    </row>
    <row r="121" spans="1:3" x14ac:dyDescent="0.5">
      <c r="A121" s="1" t="s">
        <v>458</v>
      </c>
      <c r="B121" s="1">
        <v>5</v>
      </c>
      <c r="C121" s="1">
        <v>302</v>
      </c>
    </row>
    <row r="122" spans="1:3" x14ac:dyDescent="0.5">
      <c r="A122" s="1" t="s">
        <v>95</v>
      </c>
      <c r="B122" s="1">
        <v>10</v>
      </c>
      <c r="C122" s="1">
        <v>158</v>
      </c>
    </row>
    <row r="123" spans="1:3" x14ac:dyDescent="0.5">
      <c r="A123" s="1" t="s">
        <v>18</v>
      </c>
      <c r="B123" s="1">
        <v>10</v>
      </c>
      <c r="C123" s="1">
        <v>158</v>
      </c>
    </row>
    <row r="124" spans="1:3" x14ac:dyDescent="0.5">
      <c r="A124" s="1" t="s">
        <v>446</v>
      </c>
      <c r="B124" s="1">
        <v>5</v>
      </c>
      <c r="C124" s="1">
        <v>21</v>
      </c>
    </row>
    <row r="125" spans="1:3" x14ac:dyDescent="0.5">
      <c r="A125" s="1" t="s">
        <v>447</v>
      </c>
      <c r="B125" s="1">
        <v>5</v>
      </c>
      <c r="C125" s="1">
        <v>21</v>
      </c>
    </row>
    <row r="126" spans="1:3" x14ac:dyDescent="0.5">
      <c r="A126" s="1" t="s">
        <v>8</v>
      </c>
      <c r="B126" s="1">
        <v>1</v>
      </c>
      <c r="C126" s="1">
        <v>6782</v>
      </c>
    </row>
    <row r="127" spans="1:3" x14ac:dyDescent="0.5">
      <c r="A127" s="1" t="s">
        <v>9</v>
      </c>
      <c r="B127" s="1">
        <v>1</v>
      </c>
      <c r="C127" s="1">
        <v>6782</v>
      </c>
    </row>
    <row r="128" spans="1:3" x14ac:dyDescent="0.5">
      <c r="A128" s="1" t="s">
        <v>442</v>
      </c>
      <c r="B128" s="1">
        <v>1</v>
      </c>
      <c r="C128" s="1">
        <v>25999</v>
      </c>
    </row>
    <row r="129" spans="1:3" x14ac:dyDescent="0.5">
      <c r="A129" s="1" t="s">
        <v>12</v>
      </c>
      <c r="B129" s="1">
        <v>1</v>
      </c>
      <c r="C129" s="1">
        <v>25999</v>
      </c>
    </row>
    <row r="130" spans="1:3" x14ac:dyDescent="0.5">
      <c r="A130" s="1" t="s">
        <v>747</v>
      </c>
      <c r="B130" s="1">
        <v>6</v>
      </c>
      <c r="C130" s="1">
        <v>3086</v>
      </c>
    </row>
    <row r="131" spans="1:3" x14ac:dyDescent="0.5">
      <c r="A131" s="1" t="s">
        <v>16</v>
      </c>
      <c r="B131" s="1">
        <v>6</v>
      </c>
      <c r="C131" s="1">
        <v>3086</v>
      </c>
    </row>
    <row r="132" spans="1:3" x14ac:dyDescent="0.5">
      <c r="A132" s="1" t="s">
        <v>391</v>
      </c>
      <c r="B132" s="1">
        <v>5</v>
      </c>
      <c r="C132" s="1">
        <v>345</v>
      </c>
    </row>
    <row r="133" spans="1:3" x14ac:dyDescent="0.5">
      <c r="A133" s="1" t="s">
        <v>29</v>
      </c>
      <c r="B133" s="1">
        <v>5</v>
      </c>
      <c r="C133" s="1">
        <v>345</v>
      </c>
    </row>
    <row r="134" spans="1:3" x14ac:dyDescent="0.5">
      <c r="A134" s="1" t="s">
        <v>673</v>
      </c>
      <c r="B134" s="1">
        <v>1</v>
      </c>
      <c r="C134" s="1">
        <v>56858</v>
      </c>
    </row>
    <row r="135" spans="1:3" x14ac:dyDescent="0.5">
      <c r="A135" s="1" t="s">
        <v>782</v>
      </c>
      <c r="B135" s="1">
        <v>1</v>
      </c>
      <c r="C135" s="1">
        <v>56858</v>
      </c>
    </row>
    <row r="136" spans="1:3" x14ac:dyDescent="0.5">
      <c r="A136" s="1" t="s">
        <v>756</v>
      </c>
      <c r="B136" s="1">
        <v>5</v>
      </c>
      <c r="C136" s="1">
        <v>236</v>
      </c>
    </row>
    <row r="137" spans="1:3" x14ac:dyDescent="0.5">
      <c r="A137" s="1" t="s">
        <v>89</v>
      </c>
      <c r="B137" s="1">
        <v>5</v>
      </c>
      <c r="C137" s="1">
        <v>236</v>
      </c>
    </row>
    <row r="138" spans="1:3" x14ac:dyDescent="0.5">
      <c r="A138" s="1" t="s">
        <v>625</v>
      </c>
      <c r="B138" s="1">
        <v>6</v>
      </c>
      <c r="C138" s="1">
        <v>188</v>
      </c>
    </row>
    <row r="139" spans="1:3" x14ac:dyDescent="0.5">
      <c r="A139" s="1" t="s">
        <v>55</v>
      </c>
      <c r="B139" s="1">
        <v>6</v>
      </c>
      <c r="C139" s="1">
        <v>188</v>
      </c>
    </row>
    <row r="140" spans="1:3" x14ac:dyDescent="0.5">
      <c r="A140" s="1" t="s">
        <v>231</v>
      </c>
      <c r="B140" s="1">
        <v>6</v>
      </c>
      <c r="C140" s="1">
        <v>184</v>
      </c>
    </row>
    <row r="141" spans="1:3" x14ac:dyDescent="0.5">
      <c r="A141" s="1" t="s">
        <v>91</v>
      </c>
      <c r="B141" s="1">
        <v>6</v>
      </c>
      <c r="C141" s="1">
        <v>184</v>
      </c>
    </row>
    <row r="142" spans="1:3" x14ac:dyDescent="0.5">
      <c r="A142" s="1" t="s">
        <v>700</v>
      </c>
      <c r="B142" s="1">
        <v>11</v>
      </c>
      <c r="C142" s="1">
        <v>158</v>
      </c>
    </row>
    <row r="143" spans="1:3" x14ac:dyDescent="0.5">
      <c r="A143" s="1" t="s">
        <v>18</v>
      </c>
      <c r="B143" s="1">
        <v>11</v>
      </c>
      <c r="C143" s="1">
        <v>158</v>
      </c>
    </row>
    <row r="144" spans="1:3" x14ac:dyDescent="0.5">
      <c r="A144" s="1" t="s">
        <v>327</v>
      </c>
      <c r="B144" s="1">
        <v>14</v>
      </c>
      <c r="C144" s="1">
        <v>69043</v>
      </c>
    </row>
    <row r="145" spans="1:3" x14ac:dyDescent="0.5">
      <c r="A145" s="1" t="s">
        <v>782</v>
      </c>
      <c r="B145" s="1">
        <v>1</v>
      </c>
      <c r="C145" s="1">
        <v>68986</v>
      </c>
    </row>
    <row r="146" spans="1:3" x14ac:dyDescent="0.5">
      <c r="A146" s="1" t="s">
        <v>18</v>
      </c>
      <c r="B146" s="1">
        <v>13</v>
      </c>
      <c r="C146" s="1">
        <v>57</v>
      </c>
    </row>
    <row r="147" spans="1:3" x14ac:dyDescent="0.5">
      <c r="A147" s="1" t="s">
        <v>765</v>
      </c>
      <c r="B147" s="1">
        <v>1</v>
      </c>
      <c r="C147" s="1">
        <v>457</v>
      </c>
    </row>
    <row r="148" spans="1:3" x14ac:dyDescent="0.5">
      <c r="A148" s="1" t="s">
        <v>584</v>
      </c>
      <c r="B148" s="1">
        <v>1</v>
      </c>
      <c r="C148" s="1">
        <v>457</v>
      </c>
    </row>
    <row r="149" spans="1:3" x14ac:dyDescent="0.5">
      <c r="A149" s="1" t="s">
        <v>434</v>
      </c>
      <c r="B149" s="1">
        <v>7</v>
      </c>
      <c r="C149" s="1">
        <v>149</v>
      </c>
    </row>
    <row r="150" spans="1:3" x14ac:dyDescent="0.5">
      <c r="A150" s="1" t="s">
        <v>18</v>
      </c>
      <c r="B150" s="1">
        <v>7</v>
      </c>
      <c r="C150" s="1">
        <v>149</v>
      </c>
    </row>
    <row r="151" spans="1:3" x14ac:dyDescent="0.5">
      <c r="A151" s="1" t="s">
        <v>478</v>
      </c>
      <c r="B151" s="1">
        <v>8</v>
      </c>
      <c r="C151" s="1">
        <v>171</v>
      </c>
    </row>
    <row r="152" spans="1:3" x14ac:dyDescent="0.5">
      <c r="A152" s="1" t="s">
        <v>18</v>
      </c>
      <c r="B152" s="1">
        <v>8</v>
      </c>
      <c r="C152" s="1">
        <v>171</v>
      </c>
    </row>
    <row r="153" spans="1:3" x14ac:dyDescent="0.5">
      <c r="A153" s="1" t="s">
        <v>217</v>
      </c>
      <c r="B153" s="1">
        <v>2</v>
      </c>
      <c r="C153" s="1">
        <v>52108</v>
      </c>
    </row>
    <row r="154" spans="1:3" x14ac:dyDescent="0.5">
      <c r="A154" s="1" t="s">
        <v>782</v>
      </c>
      <c r="B154" s="1">
        <v>2</v>
      </c>
      <c r="C154" s="1">
        <v>52108</v>
      </c>
    </row>
    <row r="155" spans="1:3" x14ac:dyDescent="0.5">
      <c r="A155" s="1" t="s">
        <v>102</v>
      </c>
      <c r="B155" s="1">
        <v>5</v>
      </c>
      <c r="C155" s="1">
        <v>213</v>
      </c>
    </row>
    <row r="156" spans="1:3" x14ac:dyDescent="0.5">
      <c r="A156" s="1" t="s">
        <v>103</v>
      </c>
      <c r="B156" s="1">
        <v>5</v>
      </c>
      <c r="C156" s="1">
        <v>213</v>
      </c>
    </row>
    <row r="157" spans="1:3" x14ac:dyDescent="0.5">
      <c r="A157" s="1" t="s">
        <v>385</v>
      </c>
      <c r="B157" s="1">
        <v>12</v>
      </c>
      <c r="C157" s="1">
        <v>172</v>
      </c>
    </row>
    <row r="158" spans="1:3" x14ac:dyDescent="0.5">
      <c r="A158" s="1" t="s">
        <v>18</v>
      </c>
      <c r="B158" s="1">
        <v>12</v>
      </c>
      <c r="C158" s="1">
        <v>172</v>
      </c>
    </row>
    <row r="159" spans="1:3" x14ac:dyDescent="0.5">
      <c r="A159" s="1" t="s">
        <v>278</v>
      </c>
      <c r="B159" s="1">
        <v>24</v>
      </c>
      <c r="C159" s="1">
        <v>2562</v>
      </c>
    </row>
    <row r="160" spans="1:3" x14ac:dyDescent="0.5">
      <c r="A160" s="1" t="s">
        <v>16</v>
      </c>
      <c r="B160" s="1">
        <v>5</v>
      </c>
      <c r="C160" s="1">
        <v>255</v>
      </c>
    </row>
    <row r="161" spans="1:3" x14ac:dyDescent="0.5">
      <c r="A161" s="1" t="s">
        <v>23</v>
      </c>
      <c r="B161" s="1">
        <v>3</v>
      </c>
      <c r="C161" s="1">
        <v>2176</v>
      </c>
    </row>
    <row r="162" spans="1:3" x14ac:dyDescent="0.5">
      <c r="A162" s="1" t="s">
        <v>18</v>
      </c>
      <c r="B162" s="1">
        <v>16</v>
      </c>
      <c r="C162" s="1">
        <v>131</v>
      </c>
    </row>
    <row r="163" spans="1:3" x14ac:dyDescent="0.5">
      <c r="A163" s="1" t="s">
        <v>321</v>
      </c>
      <c r="B163" s="1">
        <v>1</v>
      </c>
      <c r="C163" s="1">
        <v>301</v>
      </c>
    </row>
    <row r="164" spans="1:3" x14ac:dyDescent="0.5">
      <c r="A164" s="1" t="s">
        <v>23</v>
      </c>
      <c r="B164" s="1">
        <v>1</v>
      </c>
      <c r="C164" s="1">
        <v>301</v>
      </c>
    </row>
    <row r="165" spans="1:3" x14ac:dyDescent="0.5">
      <c r="A165" s="1" t="s">
        <v>686</v>
      </c>
      <c r="B165" s="1">
        <v>8</v>
      </c>
      <c r="C165" s="1">
        <v>87</v>
      </c>
    </row>
    <row r="166" spans="1:3" x14ac:dyDescent="0.5">
      <c r="A166" s="1" t="s">
        <v>18</v>
      </c>
      <c r="B166" s="1">
        <v>8</v>
      </c>
      <c r="C166" s="1">
        <v>87</v>
      </c>
    </row>
    <row r="167" spans="1:3" x14ac:dyDescent="0.5">
      <c r="A167" s="1" t="s">
        <v>249</v>
      </c>
      <c r="B167" s="1">
        <v>2</v>
      </c>
      <c r="C167" s="1">
        <v>10295</v>
      </c>
    </row>
    <row r="168" spans="1:3" x14ac:dyDescent="0.5">
      <c r="A168" s="1" t="s">
        <v>9</v>
      </c>
      <c r="B168" s="1">
        <v>2</v>
      </c>
      <c r="C168" s="1">
        <v>10295</v>
      </c>
    </row>
    <row r="169" spans="1:3" x14ac:dyDescent="0.5">
      <c r="A169" s="1" t="s">
        <v>526</v>
      </c>
      <c r="B169" s="1">
        <v>1</v>
      </c>
      <c r="C169" s="1">
        <v>2581</v>
      </c>
    </row>
    <row r="170" spans="1:3" x14ac:dyDescent="0.5">
      <c r="A170" s="1" t="s">
        <v>23</v>
      </c>
      <c r="B170" s="1">
        <v>1</v>
      </c>
      <c r="C170" s="1">
        <v>2581</v>
      </c>
    </row>
    <row r="171" spans="1:3" x14ac:dyDescent="0.5">
      <c r="A171" s="1" t="s">
        <v>560</v>
      </c>
      <c r="B171" s="1">
        <v>2</v>
      </c>
      <c r="C171" s="1">
        <v>52154</v>
      </c>
    </row>
    <row r="172" spans="1:3" x14ac:dyDescent="0.5">
      <c r="A172" s="1" t="s">
        <v>12</v>
      </c>
      <c r="B172" s="1">
        <v>2</v>
      </c>
      <c r="C172" s="1">
        <v>52154</v>
      </c>
    </row>
    <row r="173" spans="1:3" x14ac:dyDescent="0.5">
      <c r="A173" s="1" t="s">
        <v>746</v>
      </c>
      <c r="B173" s="1">
        <v>5</v>
      </c>
      <c r="C173" s="1">
        <v>339</v>
      </c>
    </row>
    <row r="174" spans="1:3" x14ac:dyDescent="0.5">
      <c r="A174" s="1" t="s">
        <v>150</v>
      </c>
      <c r="B174" s="1">
        <v>5</v>
      </c>
      <c r="C174" s="1">
        <v>339</v>
      </c>
    </row>
    <row r="175" spans="1:3" x14ac:dyDescent="0.5">
      <c r="A175" s="1" t="s">
        <v>629</v>
      </c>
      <c r="B175" s="1">
        <v>2</v>
      </c>
      <c r="C175" s="1">
        <v>45988</v>
      </c>
    </row>
    <row r="176" spans="1:3" x14ac:dyDescent="0.5">
      <c r="A176" s="1" t="s">
        <v>12</v>
      </c>
      <c r="B176" s="1">
        <v>2</v>
      </c>
      <c r="C176" s="1">
        <v>45988</v>
      </c>
    </row>
    <row r="177" spans="1:3" x14ac:dyDescent="0.5">
      <c r="A177" s="1" t="s">
        <v>279</v>
      </c>
      <c r="B177" s="1">
        <v>1</v>
      </c>
      <c r="C177" s="1">
        <v>851</v>
      </c>
    </row>
    <row r="178" spans="1:3" x14ac:dyDescent="0.5">
      <c r="A178" s="1" t="s">
        <v>23</v>
      </c>
      <c r="B178" s="1">
        <v>1</v>
      </c>
      <c r="C178" s="1">
        <v>851</v>
      </c>
    </row>
    <row r="179" spans="1:3" x14ac:dyDescent="0.5">
      <c r="A179" s="1" t="s">
        <v>220</v>
      </c>
      <c r="B179" s="1">
        <v>5</v>
      </c>
      <c r="C179" s="1">
        <v>33</v>
      </c>
    </row>
    <row r="180" spans="1:3" x14ac:dyDescent="0.5">
      <c r="A180" s="1" t="s">
        <v>33</v>
      </c>
      <c r="B180" s="1">
        <v>5</v>
      </c>
      <c r="C180" s="1">
        <v>33</v>
      </c>
    </row>
    <row r="181" spans="1:3" x14ac:dyDescent="0.5">
      <c r="A181" s="1" t="s">
        <v>104</v>
      </c>
      <c r="B181" s="1">
        <v>6</v>
      </c>
      <c r="C181" s="1">
        <v>114</v>
      </c>
    </row>
    <row r="182" spans="1:3" x14ac:dyDescent="0.5">
      <c r="A182" s="1" t="s">
        <v>60</v>
      </c>
      <c r="B182" s="1">
        <v>6</v>
      </c>
      <c r="C182" s="1">
        <v>114</v>
      </c>
    </row>
    <row r="183" spans="1:3" x14ac:dyDescent="0.5">
      <c r="A183" s="1" t="s">
        <v>80</v>
      </c>
      <c r="B183" s="1">
        <v>11</v>
      </c>
      <c r="C183" s="1">
        <v>64</v>
      </c>
    </row>
    <row r="184" spans="1:3" x14ac:dyDescent="0.5">
      <c r="A184" s="1" t="s">
        <v>18</v>
      </c>
      <c r="B184" s="1">
        <v>11</v>
      </c>
      <c r="C184" s="1">
        <v>64</v>
      </c>
    </row>
    <row r="185" spans="1:3" x14ac:dyDescent="0.5">
      <c r="A185" s="1" t="s">
        <v>638</v>
      </c>
      <c r="B185" s="1">
        <v>2</v>
      </c>
      <c r="C185" s="1">
        <v>54316</v>
      </c>
    </row>
    <row r="186" spans="1:3" x14ac:dyDescent="0.5">
      <c r="A186" s="1" t="s">
        <v>12</v>
      </c>
      <c r="B186" s="1">
        <v>2</v>
      </c>
      <c r="C186" s="1">
        <v>54316</v>
      </c>
    </row>
    <row r="187" spans="1:3" x14ac:dyDescent="0.5">
      <c r="A187" s="1" t="s">
        <v>117</v>
      </c>
      <c r="B187" s="1">
        <v>12</v>
      </c>
      <c r="C187" s="1">
        <v>304</v>
      </c>
    </row>
    <row r="188" spans="1:3" x14ac:dyDescent="0.5">
      <c r="A188" s="1" t="s">
        <v>106</v>
      </c>
      <c r="B188" s="1">
        <v>6</v>
      </c>
      <c r="C188" s="1">
        <v>190</v>
      </c>
    </row>
    <row r="189" spans="1:3" x14ac:dyDescent="0.5">
      <c r="A189" s="1" t="s">
        <v>103</v>
      </c>
      <c r="B189" s="1">
        <v>6</v>
      </c>
      <c r="C189" s="1">
        <v>114</v>
      </c>
    </row>
    <row r="190" spans="1:3" x14ac:dyDescent="0.5">
      <c r="A190" s="1" t="s">
        <v>153</v>
      </c>
      <c r="B190" s="1">
        <v>15</v>
      </c>
      <c r="C190" s="1">
        <v>222</v>
      </c>
    </row>
    <row r="191" spans="1:3" x14ac:dyDescent="0.5">
      <c r="A191" s="1" t="s">
        <v>89</v>
      </c>
      <c r="B191" s="1">
        <v>8</v>
      </c>
      <c r="C191" s="1">
        <v>91</v>
      </c>
    </row>
    <row r="192" spans="1:3" x14ac:dyDescent="0.5">
      <c r="A192" s="1" t="s">
        <v>18</v>
      </c>
      <c r="B192" s="1">
        <v>7</v>
      </c>
      <c r="C192" s="1">
        <v>131</v>
      </c>
    </row>
    <row r="193" spans="1:3" x14ac:dyDescent="0.5">
      <c r="A193" s="1" t="s">
        <v>532</v>
      </c>
      <c r="B193" s="1">
        <v>6</v>
      </c>
      <c r="C193" s="1">
        <v>947</v>
      </c>
    </row>
    <row r="194" spans="1:3" x14ac:dyDescent="0.5">
      <c r="A194" s="1" t="s">
        <v>511</v>
      </c>
      <c r="B194" s="1">
        <v>6</v>
      </c>
      <c r="C194" s="1">
        <v>947</v>
      </c>
    </row>
    <row r="195" spans="1:3" x14ac:dyDescent="0.5">
      <c r="A195" s="1" t="s">
        <v>137</v>
      </c>
      <c r="B195" s="1">
        <v>3</v>
      </c>
      <c r="C195" s="1">
        <v>83909</v>
      </c>
    </row>
    <row r="196" spans="1:3" x14ac:dyDescent="0.5">
      <c r="A196" s="1" t="s">
        <v>782</v>
      </c>
      <c r="B196" s="1">
        <v>3</v>
      </c>
      <c r="C196" s="1">
        <v>83909</v>
      </c>
    </row>
    <row r="197" spans="1:3" x14ac:dyDescent="0.5">
      <c r="A197" s="1" t="s">
        <v>514</v>
      </c>
      <c r="B197" s="1">
        <v>8</v>
      </c>
      <c r="C197" s="1">
        <v>9731</v>
      </c>
    </row>
    <row r="198" spans="1:3" x14ac:dyDescent="0.5">
      <c r="A198" s="1" t="s">
        <v>18</v>
      </c>
      <c r="B198" s="1">
        <v>8</v>
      </c>
      <c r="C198" s="1">
        <v>9731</v>
      </c>
    </row>
    <row r="199" spans="1:3" x14ac:dyDescent="0.5">
      <c r="A199" s="1" t="s">
        <v>184</v>
      </c>
      <c r="B199" s="1">
        <v>2</v>
      </c>
      <c r="C199" s="1">
        <v>38605</v>
      </c>
    </row>
    <row r="200" spans="1:3" x14ac:dyDescent="0.5">
      <c r="A200" s="1" t="s">
        <v>12</v>
      </c>
      <c r="B200" s="1">
        <v>2</v>
      </c>
      <c r="C200" s="1">
        <v>38605</v>
      </c>
    </row>
    <row r="201" spans="1:3" x14ac:dyDescent="0.5">
      <c r="A201" s="1" t="s">
        <v>256</v>
      </c>
      <c r="B201" s="1">
        <v>9</v>
      </c>
      <c r="C201" s="1">
        <v>35</v>
      </c>
    </row>
    <row r="202" spans="1:3" x14ac:dyDescent="0.5">
      <c r="A202" s="1" t="s">
        <v>18</v>
      </c>
      <c r="B202" s="1">
        <v>9</v>
      </c>
      <c r="C202" s="1">
        <v>35</v>
      </c>
    </row>
    <row r="203" spans="1:3" x14ac:dyDescent="0.5">
      <c r="A203" s="1" t="s">
        <v>406</v>
      </c>
      <c r="B203" s="1">
        <v>6</v>
      </c>
      <c r="C203" s="1">
        <v>93</v>
      </c>
    </row>
    <row r="204" spans="1:3" x14ac:dyDescent="0.5">
      <c r="A204" s="1" t="s">
        <v>60</v>
      </c>
      <c r="B204" s="1">
        <v>6</v>
      </c>
      <c r="C204" s="1">
        <v>93</v>
      </c>
    </row>
    <row r="205" spans="1:3" x14ac:dyDescent="0.5">
      <c r="A205" s="1" t="s">
        <v>489</v>
      </c>
      <c r="B205" s="1">
        <v>5</v>
      </c>
      <c r="C205" s="1">
        <v>144</v>
      </c>
    </row>
    <row r="206" spans="1:3" x14ac:dyDescent="0.5">
      <c r="A206" s="1" t="s">
        <v>490</v>
      </c>
      <c r="B206" s="1">
        <v>5</v>
      </c>
      <c r="C206" s="1">
        <v>144</v>
      </c>
    </row>
    <row r="207" spans="1:3" x14ac:dyDescent="0.5">
      <c r="A207" s="1" t="s">
        <v>466</v>
      </c>
      <c r="B207" s="1">
        <v>21</v>
      </c>
      <c r="C207" s="1">
        <v>11</v>
      </c>
    </row>
    <row r="208" spans="1:3" x14ac:dyDescent="0.5">
      <c r="A208" s="1" t="s">
        <v>18</v>
      </c>
      <c r="B208" s="1">
        <v>21</v>
      </c>
      <c r="C208" s="1">
        <v>11</v>
      </c>
    </row>
    <row r="209" spans="1:3" x14ac:dyDescent="0.5">
      <c r="A209" s="1" t="s">
        <v>664</v>
      </c>
      <c r="B209" s="1">
        <v>10</v>
      </c>
      <c r="C209" s="1">
        <v>217</v>
      </c>
    </row>
    <row r="210" spans="1:3" x14ac:dyDescent="0.5">
      <c r="A210" s="1" t="s">
        <v>567</v>
      </c>
      <c r="B210" s="1">
        <v>10</v>
      </c>
      <c r="C210" s="1">
        <v>217</v>
      </c>
    </row>
    <row r="211" spans="1:3" x14ac:dyDescent="0.5">
      <c r="A211" s="1" t="s">
        <v>729</v>
      </c>
      <c r="B211" s="1">
        <v>3</v>
      </c>
      <c r="C211" s="1">
        <v>4883</v>
      </c>
    </row>
    <row r="212" spans="1:3" x14ac:dyDescent="0.5">
      <c r="A212" s="1" t="s">
        <v>9</v>
      </c>
      <c r="B212" s="1">
        <v>3</v>
      </c>
      <c r="C212" s="1">
        <v>4883</v>
      </c>
    </row>
    <row r="213" spans="1:3" x14ac:dyDescent="0.5">
      <c r="A213" s="1" t="s">
        <v>737</v>
      </c>
      <c r="B213" s="1">
        <v>4</v>
      </c>
      <c r="C213" s="1">
        <v>93</v>
      </c>
    </row>
    <row r="214" spans="1:3" x14ac:dyDescent="0.5">
      <c r="A214" s="1" t="s">
        <v>27</v>
      </c>
      <c r="B214" s="1">
        <v>4</v>
      </c>
      <c r="C214" s="1">
        <v>93</v>
      </c>
    </row>
    <row r="215" spans="1:3" x14ac:dyDescent="0.5">
      <c r="A215" s="1" t="s">
        <v>431</v>
      </c>
      <c r="B215" s="1">
        <v>3</v>
      </c>
      <c r="C215" s="1">
        <v>20162</v>
      </c>
    </row>
    <row r="216" spans="1:3" x14ac:dyDescent="0.5">
      <c r="A216" s="1" t="s">
        <v>782</v>
      </c>
      <c r="B216" s="1">
        <v>3</v>
      </c>
      <c r="C216" s="1">
        <v>20162</v>
      </c>
    </row>
    <row r="217" spans="1:3" x14ac:dyDescent="0.5">
      <c r="A217" s="1" t="s">
        <v>475</v>
      </c>
      <c r="B217" s="1">
        <v>6</v>
      </c>
      <c r="C217" s="1">
        <v>119</v>
      </c>
    </row>
    <row r="218" spans="1:3" x14ac:dyDescent="0.5">
      <c r="A218" s="1" t="s">
        <v>458</v>
      </c>
      <c r="B218" s="1">
        <v>6</v>
      </c>
      <c r="C218" s="1">
        <v>119</v>
      </c>
    </row>
    <row r="219" spans="1:3" x14ac:dyDescent="0.5">
      <c r="A219" s="1" t="s">
        <v>56</v>
      </c>
      <c r="B219" s="1">
        <v>7</v>
      </c>
      <c r="C219" s="1">
        <v>50</v>
      </c>
    </row>
    <row r="220" spans="1:3" x14ac:dyDescent="0.5">
      <c r="A220" s="1" t="s">
        <v>57</v>
      </c>
      <c r="B220" s="1">
        <v>7</v>
      </c>
      <c r="C220" s="1">
        <v>50</v>
      </c>
    </row>
    <row r="221" spans="1:3" x14ac:dyDescent="0.5">
      <c r="A221" s="1" t="s">
        <v>312</v>
      </c>
      <c r="B221" s="1">
        <v>2</v>
      </c>
      <c r="C221" s="1">
        <v>569</v>
      </c>
    </row>
    <row r="222" spans="1:3" x14ac:dyDescent="0.5">
      <c r="A222" s="1" t="s">
        <v>23</v>
      </c>
      <c r="B222" s="1">
        <v>2</v>
      </c>
      <c r="C222" s="1">
        <v>569</v>
      </c>
    </row>
    <row r="223" spans="1:3" x14ac:dyDescent="0.5">
      <c r="A223" s="1" t="s">
        <v>750</v>
      </c>
      <c r="B223" s="1">
        <v>10</v>
      </c>
      <c r="C223" s="1">
        <v>145</v>
      </c>
    </row>
    <row r="224" spans="1:3" x14ac:dyDescent="0.5">
      <c r="A224" s="1" t="s">
        <v>696</v>
      </c>
      <c r="B224" s="1">
        <v>10</v>
      </c>
      <c r="C224" s="1">
        <v>145</v>
      </c>
    </row>
    <row r="225" spans="1:3" x14ac:dyDescent="0.5">
      <c r="A225" s="1" t="s">
        <v>517</v>
      </c>
      <c r="B225" s="1">
        <v>3</v>
      </c>
      <c r="C225" s="1">
        <v>74230</v>
      </c>
    </row>
    <row r="226" spans="1:3" x14ac:dyDescent="0.5">
      <c r="A226" s="1" t="s">
        <v>12</v>
      </c>
      <c r="B226" s="1">
        <v>3</v>
      </c>
      <c r="C226" s="1">
        <v>74230</v>
      </c>
    </row>
    <row r="227" spans="1:3" x14ac:dyDescent="0.5">
      <c r="A227" s="1" t="s">
        <v>516</v>
      </c>
      <c r="B227" s="1">
        <v>2</v>
      </c>
      <c r="C227" s="1">
        <v>750</v>
      </c>
    </row>
    <row r="228" spans="1:3" x14ac:dyDescent="0.5">
      <c r="A228" s="1" t="s">
        <v>23</v>
      </c>
      <c r="B228" s="1">
        <v>2</v>
      </c>
      <c r="C228" s="1">
        <v>750</v>
      </c>
    </row>
    <row r="229" spans="1:3" x14ac:dyDescent="0.5">
      <c r="A229" s="1" t="s">
        <v>589</v>
      </c>
      <c r="B229" s="1">
        <v>7</v>
      </c>
      <c r="C229" s="1">
        <v>107</v>
      </c>
    </row>
    <row r="230" spans="1:3" x14ac:dyDescent="0.5">
      <c r="A230" s="1" t="s">
        <v>89</v>
      </c>
      <c r="B230" s="1">
        <v>7</v>
      </c>
      <c r="C230" s="1">
        <v>107</v>
      </c>
    </row>
    <row r="231" spans="1:3" x14ac:dyDescent="0.5">
      <c r="A231" s="1" t="s">
        <v>17</v>
      </c>
      <c r="B231" s="1">
        <v>6</v>
      </c>
      <c r="C231" s="1">
        <v>242</v>
      </c>
    </row>
    <row r="232" spans="1:3" x14ac:dyDescent="0.5">
      <c r="A232" s="1" t="s">
        <v>18</v>
      </c>
      <c r="B232" s="1">
        <v>6</v>
      </c>
      <c r="C232" s="1">
        <v>242</v>
      </c>
    </row>
    <row r="233" spans="1:3" x14ac:dyDescent="0.5">
      <c r="A233" s="1" t="s">
        <v>239</v>
      </c>
      <c r="B233" s="1">
        <v>11</v>
      </c>
      <c r="C233" s="1">
        <v>100</v>
      </c>
    </row>
    <row r="234" spans="1:3" x14ac:dyDescent="0.5">
      <c r="A234" s="1" t="s">
        <v>240</v>
      </c>
      <c r="B234" s="1">
        <v>11</v>
      </c>
      <c r="C234" s="1">
        <v>100</v>
      </c>
    </row>
    <row r="235" spans="1:3" x14ac:dyDescent="0.5">
      <c r="A235" s="1" t="s">
        <v>578</v>
      </c>
      <c r="B235" s="1">
        <v>6</v>
      </c>
      <c r="C235" s="1">
        <v>86</v>
      </c>
    </row>
    <row r="236" spans="1:3" x14ac:dyDescent="0.5">
      <c r="A236" s="1" t="s">
        <v>60</v>
      </c>
      <c r="B236" s="1">
        <v>6</v>
      </c>
      <c r="C236" s="1">
        <v>86</v>
      </c>
    </row>
    <row r="237" spans="1:3" x14ac:dyDescent="0.5">
      <c r="A237" s="1" t="s">
        <v>333</v>
      </c>
      <c r="B237" s="1">
        <v>6</v>
      </c>
      <c r="C237" s="1">
        <v>70</v>
      </c>
    </row>
    <row r="238" spans="1:3" x14ac:dyDescent="0.5">
      <c r="A238" s="1" t="s">
        <v>334</v>
      </c>
      <c r="B238" s="1">
        <v>6</v>
      </c>
      <c r="C238" s="1">
        <v>70</v>
      </c>
    </row>
    <row r="239" spans="1:3" x14ac:dyDescent="0.5">
      <c r="A239" s="1" t="s">
        <v>542</v>
      </c>
      <c r="B239" s="1">
        <v>1</v>
      </c>
      <c r="C239" s="1">
        <v>54049</v>
      </c>
    </row>
    <row r="240" spans="1:3" x14ac:dyDescent="0.5">
      <c r="A240" s="1" t="s">
        <v>782</v>
      </c>
      <c r="B240" s="1">
        <v>1</v>
      </c>
      <c r="C240" s="1">
        <v>54049</v>
      </c>
    </row>
    <row r="241" spans="1:3" x14ac:dyDescent="0.5">
      <c r="A241" s="1" t="s">
        <v>224</v>
      </c>
      <c r="B241" s="1">
        <v>8</v>
      </c>
      <c r="C241" s="1">
        <v>119</v>
      </c>
    </row>
    <row r="242" spans="1:3" x14ac:dyDescent="0.5">
      <c r="A242" s="1" t="s">
        <v>18</v>
      </c>
      <c r="B242" s="1">
        <v>8</v>
      </c>
      <c r="C242" s="1">
        <v>119</v>
      </c>
    </row>
    <row r="243" spans="1:3" x14ac:dyDescent="0.5">
      <c r="A243" s="1" t="s">
        <v>694</v>
      </c>
      <c r="B243" s="1">
        <v>14</v>
      </c>
      <c r="C243" s="1">
        <v>149</v>
      </c>
    </row>
    <row r="244" spans="1:3" x14ac:dyDescent="0.5">
      <c r="A244" s="1" t="s">
        <v>33</v>
      </c>
      <c r="B244" s="1">
        <v>14</v>
      </c>
      <c r="C244" s="1">
        <v>149</v>
      </c>
    </row>
    <row r="245" spans="1:3" x14ac:dyDescent="0.5">
      <c r="A245" s="1" t="s">
        <v>485</v>
      </c>
      <c r="B245" s="1">
        <v>1</v>
      </c>
      <c r="C245" s="1">
        <v>238</v>
      </c>
    </row>
    <row r="246" spans="1:3" x14ac:dyDescent="0.5">
      <c r="A246" s="1" t="s">
        <v>23</v>
      </c>
      <c r="B246" s="1">
        <v>1</v>
      </c>
      <c r="C246" s="1">
        <v>238</v>
      </c>
    </row>
    <row r="247" spans="1:3" x14ac:dyDescent="0.5">
      <c r="A247" s="1" t="s">
        <v>716</v>
      </c>
      <c r="B247" s="1">
        <v>3</v>
      </c>
      <c r="C247" s="1">
        <v>79009</v>
      </c>
    </row>
    <row r="248" spans="1:3" x14ac:dyDescent="0.5">
      <c r="A248" s="1" t="s">
        <v>12</v>
      </c>
      <c r="B248" s="1">
        <v>3</v>
      </c>
      <c r="C248" s="1">
        <v>79009</v>
      </c>
    </row>
    <row r="249" spans="1:3" x14ac:dyDescent="0.5">
      <c r="A249" s="1" t="s">
        <v>219</v>
      </c>
      <c r="B249" s="1">
        <v>4</v>
      </c>
      <c r="C249" s="1">
        <v>372</v>
      </c>
    </row>
    <row r="250" spans="1:3" x14ac:dyDescent="0.5">
      <c r="A250" s="1" t="s">
        <v>23</v>
      </c>
      <c r="B250" s="1">
        <v>4</v>
      </c>
      <c r="C250" s="1">
        <v>372</v>
      </c>
    </row>
    <row r="251" spans="1:3" x14ac:dyDescent="0.5">
      <c r="A251" s="1" t="s">
        <v>411</v>
      </c>
      <c r="B251" s="1">
        <v>3</v>
      </c>
      <c r="C251" s="1">
        <v>9409</v>
      </c>
    </row>
    <row r="252" spans="1:3" x14ac:dyDescent="0.5">
      <c r="A252" s="1" t="s">
        <v>9</v>
      </c>
      <c r="B252" s="1">
        <v>3</v>
      </c>
      <c r="C252" s="1">
        <v>9409</v>
      </c>
    </row>
    <row r="253" spans="1:3" x14ac:dyDescent="0.5">
      <c r="A253" s="1" t="s">
        <v>646</v>
      </c>
      <c r="B253" s="1">
        <v>9</v>
      </c>
      <c r="C253" s="1">
        <v>41</v>
      </c>
    </row>
    <row r="254" spans="1:3" x14ac:dyDescent="0.5">
      <c r="A254" s="1" t="s">
        <v>647</v>
      </c>
      <c r="B254" s="1">
        <v>9</v>
      </c>
      <c r="C254" s="1">
        <v>41</v>
      </c>
    </row>
    <row r="255" spans="1:3" x14ac:dyDescent="0.5">
      <c r="A255" s="1" t="s">
        <v>540</v>
      </c>
      <c r="B255" s="1">
        <v>7</v>
      </c>
      <c r="C255" s="1">
        <v>261</v>
      </c>
    </row>
    <row r="256" spans="1:3" x14ac:dyDescent="0.5">
      <c r="A256" s="1" t="s">
        <v>16</v>
      </c>
      <c r="B256" s="1">
        <v>7</v>
      </c>
      <c r="C256" s="1">
        <v>261</v>
      </c>
    </row>
    <row r="257" spans="1:3" x14ac:dyDescent="0.5">
      <c r="A257" s="1" t="s">
        <v>523</v>
      </c>
      <c r="B257" s="1">
        <v>9</v>
      </c>
      <c r="C257" s="1">
        <v>167</v>
      </c>
    </row>
    <row r="258" spans="1:3" x14ac:dyDescent="0.5">
      <c r="A258" s="1" t="s">
        <v>18</v>
      </c>
      <c r="B258" s="1">
        <v>9</v>
      </c>
      <c r="C258" s="1">
        <v>167</v>
      </c>
    </row>
    <row r="259" spans="1:3" x14ac:dyDescent="0.5">
      <c r="A259" s="1" t="s">
        <v>633</v>
      </c>
      <c r="B259" s="1">
        <v>6</v>
      </c>
      <c r="C259" s="1">
        <v>57</v>
      </c>
    </row>
    <row r="260" spans="1:3" x14ac:dyDescent="0.5">
      <c r="A260" s="1" t="s">
        <v>603</v>
      </c>
      <c r="B260" s="1">
        <v>6</v>
      </c>
      <c r="C260" s="1">
        <v>57</v>
      </c>
    </row>
    <row r="261" spans="1:3" x14ac:dyDescent="0.5">
      <c r="A261" s="1" t="s">
        <v>54</v>
      </c>
      <c r="B261" s="1">
        <v>6</v>
      </c>
      <c r="C261" s="1">
        <v>113</v>
      </c>
    </row>
    <row r="262" spans="1:3" x14ac:dyDescent="0.5">
      <c r="A262" s="1" t="s">
        <v>55</v>
      </c>
      <c r="B262" s="1">
        <v>6</v>
      </c>
      <c r="C262" s="1">
        <v>113</v>
      </c>
    </row>
    <row r="263" spans="1:3" x14ac:dyDescent="0.5">
      <c r="A263" s="1" t="s">
        <v>564</v>
      </c>
      <c r="B263" s="1">
        <v>6</v>
      </c>
      <c r="C263" s="1">
        <v>174</v>
      </c>
    </row>
    <row r="264" spans="1:3" x14ac:dyDescent="0.5">
      <c r="A264" s="1" t="s">
        <v>166</v>
      </c>
      <c r="B264" s="1">
        <v>6</v>
      </c>
      <c r="C264" s="1">
        <v>174</v>
      </c>
    </row>
    <row r="265" spans="1:3" x14ac:dyDescent="0.5">
      <c r="A265" s="1" t="s">
        <v>157</v>
      </c>
      <c r="B265" s="1">
        <v>28</v>
      </c>
      <c r="C265" s="1">
        <v>736</v>
      </c>
    </row>
    <row r="266" spans="1:3" x14ac:dyDescent="0.5">
      <c r="A266" s="1" t="s">
        <v>23</v>
      </c>
      <c r="B266" s="1">
        <v>4</v>
      </c>
      <c r="C266" s="1">
        <v>422</v>
      </c>
    </row>
    <row r="267" spans="1:3" x14ac:dyDescent="0.5">
      <c r="A267" s="1" t="s">
        <v>661</v>
      </c>
      <c r="B267" s="1">
        <v>7</v>
      </c>
      <c r="C267" s="1">
        <v>49</v>
      </c>
    </row>
    <row r="268" spans="1:3" x14ac:dyDescent="0.5">
      <c r="A268" s="1" t="s">
        <v>18</v>
      </c>
      <c r="B268" s="1">
        <v>17</v>
      </c>
      <c r="C268" s="1">
        <v>265</v>
      </c>
    </row>
    <row r="269" spans="1:3" x14ac:dyDescent="0.5">
      <c r="A269" s="1" t="s">
        <v>648</v>
      </c>
      <c r="B269" s="1">
        <v>10</v>
      </c>
      <c r="C269" s="1">
        <v>107</v>
      </c>
    </row>
    <row r="270" spans="1:3" x14ac:dyDescent="0.5">
      <c r="A270" s="1" t="s">
        <v>649</v>
      </c>
      <c r="B270" s="1">
        <v>10</v>
      </c>
      <c r="C270" s="1">
        <v>107</v>
      </c>
    </row>
    <row r="271" spans="1:3" x14ac:dyDescent="0.5">
      <c r="A271" s="1" t="s">
        <v>595</v>
      </c>
      <c r="B271" s="1">
        <v>12</v>
      </c>
      <c r="C271" s="1">
        <v>219</v>
      </c>
    </row>
    <row r="272" spans="1:3" x14ac:dyDescent="0.5">
      <c r="A272" s="1" t="s">
        <v>18</v>
      </c>
      <c r="B272" s="1">
        <v>12</v>
      </c>
      <c r="C272" s="1">
        <v>219</v>
      </c>
    </row>
    <row r="273" spans="1:3" x14ac:dyDescent="0.5">
      <c r="A273" s="1" t="s">
        <v>657</v>
      </c>
      <c r="B273" s="1">
        <v>2</v>
      </c>
      <c r="C273" s="1">
        <v>47099</v>
      </c>
    </row>
    <row r="274" spans="1:3" x14ac:dyDescent="0.5">
      <c r="A274" s="1" t="s">
        <v>12</v>
      </c>
      <c r="B274" s="1">
        <v>2</v>
      </c>
      <c r="C274" s="1">
        <v>47099</v>
      </c>
    </row>
    <row r="275" spans="1:3" x14ac:dyDescent="0.5">
      <c r="A275" s="1" t="s">
        <v>529</v>
      </c>
      <c r="B275" s="1">
        <v>4</v>
      </c>
      <c r="C275" s="1">
        <v>50209</v>
      </c>
    </row>
    <row r="276" spans="1:3" x14ac:dyDescent="0.5">
      <c r="A276" s="1" t="s">
        <v>530</v>
      </c>
      <c r="B276" s="1">
        <v>4</v>
      </c>
      <c r="C276" s="1">
        <v>50209</v>
      </c>
    </row>
    <row r="277" spans="1:3" x14ac:dyDescent="0.5">
      <c r="A277" s="1" t="s">
        <v>251</v>
      </c>
      <c r="B277" s="1">
        <v>4</v>
      </c>
      <c r="C277" s="1">
        <v>15396</v>
      </c>
    </row>
    <row r="278" spans="1:3" x14ac:dyDescent="0.5">
      <c r="A278" s="1" t="s">
        <v>782</v>
      </c>
      <c r="B278" s="1">
        <v>4</v>
      </c>
      <c r="C278" s="1">
        <v>15396</v>
      </c>
    </row>
    <row r="279" spans="1:3" x14ac:dyDescent="0.5">
      <c r="A279" s="1" t="s">
        <v>210</v>
      </c>
      <c r="B279" s="1">
        <v>5</v>
      </c>
      <c r="C279" s="1">
        <v>190</v>
      </c>
    </row>
    <row r="280" spans="1:3" x14ac:dyDescent="0.5">
      <c r="A280" s="1" t="s">
        <v>79</v>
      </c>
      <c r="B280" s="1">
        <v>5</v>
      </c>
      <c r="C280" s="1">
        <v>190</v>
      </c>
    </row>
    <row r="281" spans="1:3" x14ac:dyDescent="0.5">
      <c r="A281" s="1" t="s">
        <v>97</v>
      </c>
      <c r="B281" s="1">
        <v>12</v>
      </c>
      <c r="C281" s="1">
        <v>235</v>
      </c>
    </row>
    <row r="282" spans="1:3" x14ac:dyDescent="0.5">
      <c r="A282" s="1" t="s">
        <v>18</v>
      </c>
      <c r="B282" s="1">
        <v>12</v>
      </c>
      <c r="C282" s="1">
        <v>235</v>
      </c>
    </row>
    <row r="283" spans="1:3" x14ac:dyDescent="0.5">
      <c r="A283" s="1" t="s">
        <v>86</v>
      </c>
      <c r="B283" s="1">
        <v>3</v>
      </c>
      <c r="C283" s="1">
        <v>41071</v>
      </c>
    </row>
    <row r="284" spans="1:3" x14ac:dyDescent="0.5">
      <c r="A284" s="1" t="s">
        <v>9</v>
      </c>
      <c r="B284" s="1">
        <v>3</v>
      </c>
      <c r="C284" s="1">
        <v>41071</v>
      </c>
    </row>
    <row r="285" spans="1:3" x14ac:dyDescent="0.5">
      <c r="A285" s="1" t="s">
        <v>767</v>
      </c>
      <c r="B285" s="1">
        <v>3</v>
      </c>
      <c r="C285" s="1">
        <v>1887</v>
      </c>
    </row>
    <row r="286" spans="1:3" x14ac:dyDescent="0.5">
      <c r="A286" s="1" t="s">
        <v>23</v>
      </c>
      <c r="B286" s="1">
        <v>3</v>
      </c>
      <c r="C286" s="1">
        <v>1887</v>
      </c>
    </row>
    <row r="287" spans="1:3" x14ac:dyDescent="0.5">
      <c r="A287" s="1" t="s">
        <v>531</v>
      </c>
      <c r="B287" s="1">
        <v>5</v>
      </c>
      <c r="C287" s="1">
        <v>538</v>
      </c>
    </row>
    <row r="288" spans="1:3" x14ac:dyDescent="0.5">
      <c r="A288" s="1" t="s">
        <v>367</v>
      </c>
      <c r="B288" s="1">
        <v>5</v>
      </c>
      <c r="C288" s="1">
        <v>538</v>
      </c>
    </row>
    <row r="289" spans="1:3" x14ac:dyDescent="0.5">
      <c r="A289" s="1" t="s">
        <v>760</v>
      </c>
      <c r="B289" s="1">
        <v>8</v>
      </c>
      <c r="C289" s="1">
        <v>391</v>
      </c>
    </row>
    <row r="290" spans="1:3" x14ac:dyDescent="0.5">
      <c r="A290" s="1" t="s">
        <v>696</v>
      </c>
      <c r="B290" s="1">
        <v>8</v>
      </c>
      <c r="C290" s="1">
        <v>391</v>
      </c>
    </row>
    <row r="291" spans="1:3" x14ac:dyDescent="0.5">
      <c r="A291" s="1" t="s">
        <v>303</v>
      </c>
      <c r="B291" s="1">
        <v>2</v>
      </c>
      <c r="C291" s="1">
        <v>3198</v>
      </c>
    </row>
    <row r="292" spans="1:3" x14ac:dyDescent="0.5">
      <c r="A292" s="1" t="s">
        <v>9</v>
      </c>
      <c r="B292" s="1">
        <v>2</v>
      </c>
      <c r="C292" s="1">
        <v>3198</v>
      </c>
    </row>
    <row r="293" spans="1:3" x14ac:dyDescent="0.5">
      <c r="A293" s="1" t="s">
        <v>169</v>
      </c>
      <c r="B293" s="1">
        <v>1</v>
      </c>
      <c r="C293" s="1">
        <v>55752</v>
      </c>
    </row>
    <row r="294" spans="1:3" x14ac:dyDescent="0.5">
      <c r="A294" s="1" t="s">
        <v>12</v>
      </c>
      <c r="B294" s="1">
        <v>1</v>
      </c>
      <c r="C294" s="1">
        <v>55752</v>
      </c>
    </row>
    <row r="295" spans="1:3" x14ac:dyDescent="0.5">
      <c r="A295" s="1" t="s">
        <v>335</v>
      </c>
      <c r="B295" s="1">
        <v>7</v>
      </c>
      <c r="C295" s="1">
        <v>61</v>
      </c>
    </row>
    <row r="296" spans="1:3" x14ac:dyDescent="0.5">
      <c r="A296" s="1" t="s">
        <v>336</v>
      </c>
      <c r="B296" s="1">
        <v>7</v>
      </c>
      <c r="C296" s="1">
        <v>61</v>
      </c>
    </row>
    <row r="297" spans="1:3" x14ac:dyDescent="0.5">
      <c r="A297" s="1" t="s">
        <v>121</v>
      </c>
      <c r="B297" s="1">
        <v>3</v>
      </c>
      <c r="C297" s="1">
        <v>10290</v>
      </c>
    </row>
    <row r="298" spans="1:3" x14ac:dyDescent="0.5">
      <c r="A298" s="1" t="s">
        <v>9</v>
      </c>
      <c r="B298" s="1">
        <v>3</v>
      </c>
      <c r="C298" s="1">
        <v>10290</v>
      </c>
    </row>
    <row r="299" spans="1:3" x14ac:dyDescent="0.5">
      <c r="A299" s="1" t="s">
        <v>300</v>
      </c>
      <c r="B299" s="1">
        <v>8</v>
      </c>
      <c r="C299" s="1">
        <v>206</v>
      </c>
    </row>
    <row r="300" spans="1:3" x14ac:dyDescent="0.5">
      <c r="A300" s="1" t="s">
        <v>18</v>
      </c>
      <c r="B300" s="1">
        <v>8</v>
      </c>
      <c r="C300" s="1">
        <v>206</v>
      </c>
    </row>
    <row r="301" spans="1:3" x14ac:dyDescent="0.5">
      <c r="A301" s="1" t="s">
        <v>749</v>
      </c>
      <c r="B301" s="1">
        <v>9</v>
      </c>
      <c r="C301" s="1">
        <v>195</v>
      </c>
    </row>
    <row r="302" spans="1:3" x14ac:dyDescent="0.5">
      <c r="A302" s="1" t="s">
        <v>60</v>
      </c>
      <c r="B302" s="1">
        <v>9</v>
      </c>
      <c r="C302" s="1">
        <v>195</v>
      </c>
    </row>
    <row r="303" spans="1:3" x14ac:dyDescent="0.5">
      <c r="A303" s="1" t="s">
        <v>524</v>
      </c>
      <c r="B303" s="1">
        <v>10</v>
      </c>
      <c r="C303" s="1">
        <v>269</v>
      </c>
    </row>
    <row r="304" spans="1:3" x14ac:dyDescent="0.5">
      <c r="A304" s="1" t="s">
        <v>18</v>
      </c>
      <c r="B304" s="1">
        <v>10</v>
      </c>
      <c r="C304" s="1">
        <v>269</v>
      </c>
    </row>
    <row r="305" spans="1:3" x14ac:dyDescent="0.5">
      <c r="A305" s="1" t="s">
        <v>681</v>
      </c>
      <c r="B305" s="1">
        <v>3</v>
      </c>
      <c r="C305" s="1">
        <v>596</v>
      </c>
    </row>
    <row r="306" spans="1:3" x14ac:dyDescent="0.5">
      <c r="A306" s="1" t="s">
        <v>23</v>
      </c>
      <c r="B306" s="1">
        <v>3</v>
      </c>
      <c r="C306" s="1">
        <v>596</v>
      </c>
    </row>
    <row r="307" spans="1:3" x14ac:dyDescent="0.5">
      <c r="A307" s="1" t="s">
        <v>116</v>
      </c>
      <c r="B307" s="1">
        <v>5</v>
      </c>
      <c r="C307" s="1">
        <v>216</v>
      </c>
    </row>
    <row r="308" spans="1:3" x14ac:dyDescent="0.5">
      <c r="A308" s="1" t="s">
        <v>60</v>
      </c>
      <c r="B308" s="1">
        <v>5</v>
      </c>
      <c r="C308" s="1">
        <v>216</v>
      </c>
    </row>
    <row r="309" spans="1:3" x14ac:dyDescent="0.5">
      <c r="A309" s="1" t="s">
        <v>32</v>
      </c>
      <c r="B309" s="1">
        <v>7</v>
      </c>
      <c r="C309" s="1">
        <v>224</v>
      </c>
    </row>
    <row r="310" spans="1:3" x14ac:dyDescent="0.5">
      <c r="A310" s="1" t="s">
        <v>33</v>
      </c>
      <c r="B310" s="1">
        <v>7</v>
      </c>
      <c r="C310" s="1">
        <v>224</v>
      </c>
    </row>
    <row r="311" spans="1:3" x14ac:dyDescent="0.5">
      <c r="A311" s="1" t="s">
        <v>636</v>
      </c>
      <c r="B311" s="1">
        <v>9</v>
      </c>
      <c r="C311" s="1">
        <v>117</v>
      </c>
    </row>
    <row r="312" spans="1:3" x14ac:dyDescent="0.5">
      <c r="A312" s="1" t="s">
        <v>18</v>
      </c>
      <c r="B312" s="1">
        <v>9</v>
      </c>
      <c r="C312" s="1">
        <v>117</v>
      </c>
    </row>
    <row r="313" spans="1:3" x14ac:dyDescent="0.5">
      <c r="A313" s="1" t="s">
        <v>687</v>
      </c>
      <c r="B313" s="1">
        <v>9</v>
      </c>
      <c r="C313" s="1">
        <v>52</v>
      </c>
    </row>
    <row r="314" spans="1:3" x14ac:dyDescent="0.5">
      <c r="A314" s="1" t="s">
        <v>18</v>
      </c>
      <c r="B314" s="1">
        <v>9</v>
      </c>
      <c r="C314" s="1">
        <v>52</v>
      </c>
    </row>
    <row r="315" spans="1:3" x14ac:dyDescent="0.5">
      <c r="A315" s="1" t="s">
        <v>426</v>
      </c>
      <c r="B315" s="1">
        <v>5</v>
      </c>
      <c r="C315" s="1">
        <v>326</v>
      </c>
    </row>
    <row r="316" spans="1:3" x14ac:dyDescent="0.5">
      <c r="A316" s="1" t="s">
        <v>79</v>
      </c>
      <c r="B316" s="1">
        <v>5</v>
      </c>
      <c r="C316" s="1">
        <v>326</v>
      </c>
    </row>
    <row r="317" spans="1:3" x14ac:dyDescent="0.5">
      <c r="A317" s="1" t="s">
        <v>168</v>
      </c>
      <c r="B317" s="1">
        <v>9</v>
      </c>
      <c r="C317" s="1">
        <v>373</v>
      </c>
    </row>
    <row r="318" spans="1:3" x14ac:dyDescent="0.5">
      <c r="A318" s="1" t="s">
        <v>18</v>
      </c>
      <c r="B318" s="1">
        <v>9</v>
      </c>
      <c r="C318" s="1">
        <v>373</v>
      </c>
    </row>
    <row r="319" spans="1:3" x14ac:dyDescent="0.5">
      <c r="A319" s="1" t="s">
        <v>370</v>
      </c>
      <c r="B319" s="1">
        <v>8</v>
      </c>
      <c r="C319" s="1">
        <v>206</v>
      </c>
    </row>
    <row r="320" spans="1:3" x14ac:dyDescent="0.5">
      <c r="A320" s="1" t="s">
        <v>18</v>
      </c>
      <c r="B320" s="1">
        <v>8</v>
      </c>
      <c r="C320" s="1">
        <v>206</v>
      </c>
    </row>
    <row r="321" spans="1:3" x14ac:dyDescent="0.5">
      <c r="A321" s="1" t="s">
        <v>544</v>
      </c>
      <c r="B321" s="1">
        <v>3</v>
      </c>
      <c r="C321" s="1">
        <v>53705</v>
      </c>
    </row>
    <row r="322" spans="1:3" x14ac:dyDescent="0.5">
      <c r="A322" s="1" t="s">
        <v>12</v>
      </c>
      <c r="B322" s="1">
        <v>3</v>
      </c>
      <c r="C322" s="1">
        <v>53705</v>
      </c>
    </row>
    <row r="323" spans="1:3" x14ac:dyDescent="0.5">
      <c r="A323" s="1" t="s">
        <v>521</v>
      </c>
      <c r="B323" s="1">
        <v>7</v>
      </c>
      <c r="C323" s="1">
        <v>293</v>
      </c>
    </row>
    <row r="324" spans="1:3" x14ac:dyDescent="0.5">
      <c r="A324" s="1" t="s">
        <v>47</v>
      </c>
      <c r="B324" s="1">
        <v>7</v>
      </c>
      <c r="C324" s="1">
        <v>293</v>
      </c>
    </row>
    <row r="325" spans="1:3" x14ac:dyDescent="0.5">
      <c r="A325" s="1" t="s">
        <v>665</v>
      </c>
      <c r="B325" s="1">
        <v>1</v>
      </c>
      <c r="C325" s="1">
        <v>75922</v>
      </c>
    </row>
    <row r="326" spans="1:3" x14ac:dyDescent="0.5">
      <c r="A326" s="1" t="s">
        <v>782</v>
      </c>
      <c r="B326" s="1">
        <v>1</v>
      </c>
      <c r="C326" s="1">
        <v>75922</v>
      </c>
    </row>
    <row r="327" spans="1:3" x14ac:dyDescent="0.5">
      <c r="A327" s="1" t="s">
        <v>464</v>
      </c>
      <c r="B327" s="1">
        <v>19</v>
      </c>
      <c r="C327" s="1">
        <v>31</v>
      </c>
    </row>
    <row r="328" spans="1:3" x14ac:dyDescent="0.5">
      <c r="A328" s="1" t="s">
        <v>18</v>
      </c>
      <c r="B328" s="1">
        <v>19</v>
      </c>
      <c r="C328" s="1">
        <v>31</v>
      </c>
    </row>
    <row r="329" spans="1:3" x14ac:dyDescent="0.5">
      <c r="A329" s="1" t="s">
        <v>534</v>
      </c>
      <c r="B329" s="1">
        <v>1</v>
      </c>
      <c r="C329" s="1">
        <v>46285</v>
      </c>
    </row>
    <row r="330" spans="1:3" x14ac:dyDescent="0.5">
      <c r="A330" s="1" t="s">
        <v>12</v>
      </c>
      <c r="B330" s="1">
        <v>1</v>
      </c>
      <c r="C330" s="1">
        <v>46285</v>
      </c>
    </row>
    <row r="331" spans="1:3" x14ac:dyDescent="0.5">
      <c r="A331" s="1" t="s">
        <v>491</v>
      </c>
      <c r="B331" s="1">
        <v>6</v>
      </c>
      <c r="C331" s="1">
        <v>162</v>
      </c>
    </row>
    <row r="332" spans="1:3" x14ac:dyDescent="0.5">
      <c r="A332" s="1" t="s">
        <v>103</v>
      </c>
      <c r="B332" s="1">
        <v>6</v>
      </c>
      <c r="C332" s="1">
        <v>162</v>
      </c>
    </row>
    <row r="333" spans="1:3" x14ac:dyDescent="0.5">
      <c r="A333" s="1" t="s">
        <v>456</v>
      </c>
      <c r="B333" s="1">
        <v>12</v>
      </c>
      <c r="C333" s="1">
        <v>76</v>
      </c>
    </row>
    <row r="334" spans="1:3" x14ac:dyDescent="0.5">
      <c r="A334" s="1" t="s">
        <v>236</v>
      </c>
      <c r="B334" s="1">
        <v>12</v>
      </c>
      <c r="C334" s="1">
        <v>76</v>
      </c>
    </row>
    <row r="335" spans="1:3" x14ac:dyDescent="0.5">
      <c r="A335" s="1" t="s">
        <v>769</v>
      </c>
      <c r="B335" s="1">
        <v>5</v>
      </c>
      <c r="C335" s="1">
        <v>3921</v>
      </c>
    </row>
    <row r="336" spans="1:3" x14ac:dyDescent="0.5">
      <c r="A336" s="1" t="s">
        <v>9</v>
      </c>
      <c r="B336" s="1">
        <v>5</v>
      </c>
      <c r="C336" s="1">
        <v>3921</v>
      </c>
    </row>
    <row r="337" spans="1:3" x14ac:dyDescent="0.5">
      <c r="A337" s="1" t="s">
        <v>452</v>
      </c>
      <c r="B337" s="1">
        <v>8</v>
      </c>
      <c r="C337" s="1">
        <v>39</v>
      </c>
    </row>
    <row r="338" spans="1:3" x14ac:dyDescent="0.5">
      <c r="A338" s="1" t="s">
        <v>453</v>
      </c>
      <c r="B338" s="1">
        <v>8</v>
      </c>
      <c r="C338" s="1">
        <v>39</v>
      </c>
    </row>
    <row r="339" spans="1:3" x14ac:dyDescent="0.5">
      <c r="A339" s="1" t="s">
        <v>436</v>
      </c>
      <c r="B339" s="1">
        <v>2</v>
      </c>
      <c r="C339" s="1">
        <v>45440</v>
      </c>
    </row>
    <row r="340" spans="1:3" x14ac:dyDescent="0.5">
      <c r="A340" s="1" t="s">
        <v>12</v>
      </c>
      <c r="B340" s="1">
        <v>2</v>
      </c>
      <c r="C340" s="1">
        <v>45440</v>
      </c>
    </row>
    <row r="341" spans="1:3" x14ac:dyDescent="0.5">
      <c r="A341" s="1" t="s">
        <v>268</v>
      </c>
      <c r="B341" s="1">
        <v>1</v>
      </c>
      <c r="C341" s="1">
        <v>44867</v>
      </c>
    </row>
    <row r="342" spans="1:3" x14ac:dyDescent="0.5">
      <c r="A342" s="1" t="s">
        <v>782</v>
      </c>
      <c r="B342" s="1">
        <v>1</v>
      </c>
      <c r="C342" s="1">
        <v>44867</v>
      </c>
    </row>
    <row r="343" spans="1:3" x14ac:dyDescent="0.5">
      <c r="A343" s="1" t="s">
        <v>365</v>
      </c>
      <c r="B343" s="1">
        <v>5</v>
      </c>
      <c r="C343" s="1">
        <v>185</v>
      </c>
    </row>
    <row r="344" spans="1:3" x14ac:dyDescent="0.5">
      <c r="A344" s="1" t="s">
        <v>103</v>
      </c>
      <c r="B344" s="1">
        <v>5</v>
      </c>
      <c r="C344" s="1">
        <v>185</v>
      </c>
    </row>
    <row r="345" spans="1:3" x14ac:dyDescent="0.5">
      <c r="A345" s="1" t="s">
        <v>470</v>
      </c>
      <c r="B345" s="1">
        <v>2</v>
      </c>
      <c r="C345" s="1">
        <v>7350</v>
      </c>
    </row>
    <row r="346" spans="1:3" x14ac:dyDescent="0.5">
      <c r="A346" s="1" t="s">
        <v>9</v>
      </c>
      <c r="B346" s="1">
        <v>2</v>
      </c>
      <c r="C346" s="1">
        <v>7350</v>
      </c>
    </row>
    <row r="347" spans="1:3" x14ac:dyDescent="0.5">
      <c r="A347" s="1" t="s">
        <v>605</v>
      </c>
      <c r="B347" s="1">
        <v>9</v>
      </c>
      <c r="C347" s="1">
        <v>148</v>
      </c>
    </row>
    <row r="348" spans="1:3" x14ac:dyDescent="0.5">
      <c r="A348" s="1" t="s">
        <v>606</v>
      </c>
      <c r="B348" s="1">
        <v>9</v>
      </c>
      <c r="C348" s="1">
        <v>148</v>
      </c>
    </row>
    <row r="349" spans="1:3" x14ac:dyDescent="0.5">
      <c r="A349" s="1" t="s">
        <v>255</v>
      </c>
      <c r="B349" s="1">
        <v>8</v>
      </c>
      <c r="C349" s="1">
        <v>31</v>
      </c>
    </row>
    <row r="350" spans="1:3" x14ac:dyDescent="0.5">
      <c r="A350" s="1" t="s">
        <v>18</v>
      </c>
      <c r="B350" s="1">
        <v>8</v>
      </c>
      <c r="C350" s="1">
        <v>31</v>
      </c>
    </row>
    <row r="351" spans="1:3" x14ac:dyDescent="0.5">
      <c r="A351" s="1" t="s">
        <v>377</v>
      </c>
      <c r="B351" s="1">
        <v>6</v>
      </c>
      <c r="C351" s="1">
        <v>58</v>
      </c>
    </row>
    <row r="352" spans="1:3" x14ac:dyDescent="0.5">
      <c r="A352" s="1" t="s">
        <v>378</v>
      </c>
      <c r="B352" s="1">
        <v>6</v>
      </c>
      <c r="C352" s="1">
        <v>58</v>
      </c>
    </row>
    <row r="353" spans="1:3" x14ac:dyDescent="0.5">
      <c r="A353" s="1" t="s">
        <v>119</v>
      </c>
      <c r="B353" s="1">
        <v>1</v>
      </c>
      <c r="C353" s="1">
        <v>89839</v>
      </c>
    </row>
    <row r="354" spans="1:3" x14ac:dyDescent="0.5">
      <c r="A354" s="1" t="s">
        <v>782</v>
      </c>
      <c r="B354" s="1">
        <v>1</v>
      </c>
      <c r="C354" s="1">
        <v>89839</v>
      </c>
    </row>
    <row r="355" spans="1:3" x14ac:dyDescent="0.5">
      <c r="A355" s="1" t="s">
        <v>506</v>
      </c>
      <c r="B355" s="1">
        <v>1</v>
      </c>
      <c r="C355" s="1">
        <v>48349</v>
      </c>
    </row>
    <row r="356" spans="1:3" x14ac:dyDescent="0.5">
      <c r="A356" s="1" t="s">
        <v>782</v>
      </c>
      <c r="B356" s="1">
        <v>1</v>
      </c>
      <c r="C356" s="1">
        <v>48349</v>
      </c>
    </row>
    <row r="357" spans="1:3" x14ac:dyDescent="0.5">
      <c r="A357" s="1" t="s">
        <v>645</v>
      </c>
      <c r="B357" s="1">
        <v>8</v>
      </c>
      <c r="C357" s="1">
        <v>173</v>
      </c>
    </row>
    <row r="358" spans="1:3" x14ac:dyDescent="0.5">
      <c r="A358" s="1" t="s">
        <v>16</v>
      </c>
      <c r="B358" s="1">
        <v>8</v>
      </c>
      <c r="C358" s="1">
        <v>173</v>
      </c>
    </row>
    <row r="359" spans="1:3" x14ac:dyDescent="0.5">
      <c r="A359" s="1" t="s">
        <v>22</v>
      </c>
      <c r="B359" s="1">
        <v>1</v>
      </c>
      <c r="C359" s="1">
        <v>2214</v>
      </c>
    </row>
    <row r="360" spans="1:3" x14ac:dyDescent="0.5">
      <c r="A360" s="1" t="s">
        <v>23</v>
      </c>
      <c r="B360" s="1">
        <v>1</v>
      </c>
      <c r="C360" s="1">
        <v>2214</v>
      </c>
    </row>
    <row r="361" spans="1:3" x14ac:dyDescent="0.5">
      <c r="A361" s="1" t="s">
        <v>553</v>
      </c>
      <c r="B361" s="1">
        <v>1</v>
      </c>
      <c r="C361" s="1">
        <v>6711</v>
      </c>
    </row>
    <row r="362" spans="1:3" x14ac:dyDescent="0.5">
      <c r="A362" s="1" t="s">
        <v>9</v>
      </c>
      <c r="B362" s="1">
        <v>1</v>
      </c>
      <c r="C362" s="1">
        <v>6711</v>
      </c>
    </row>
    <row r="363" spans="1:3" x14ac:dyDescent="0.5">
      <c r="A363" s="1" t="s">
        <v>728</v>
      </c>
      <c r="B363" s="1">
        <v>11</v>
      </c>
      <c r="C363" s="1">
        <v>54208</v>
      </c>
    </row>
    <row r="364" spans="1:3" x14ac:dyDescent="0.5">
      <c r="A364" s="1" t="s">
        <v>12</v>
      </c>
      <c r="B364" s="1">
        <v>2</v>
      </c>
      <c r="C364" s="1">
        <v>53929</v>
      </c>
    </row>
    <row r="365" spans="1:3" x14ac:dyDescent="0.5">
      <c r="A365" s="1" t="s">
        <v>18</v>
      </c>
      <c r="B365" s="1">
        <v>9</v>
      </c>
      <c r="C365" s="1">
        <v>279</v>
      </c>
    </row>
    <row r="366" spans="1:3" x14ac:dyDescent="0.5">
      <c r="A366" s="1" t="s">
        <v>289</v>
      </c>
      <c r="B366" s="1">
        <v>10</v>
      </c>
      <c r="C366" s="1">
        <v>170</v>
      </c>
    </row>
    <row r="367" spans="1:3" x14ac:dyDescent="0.5">
      <c r="A367" s="1" t="s">
        <v>18</v>
      </c>
      <c r="B367" s="1">
        <v>10</v>
      </c>
      <c r="C367" s="1">
        <v>170</v>
      </c>
    </row>
    <row r="368" spans="1:3" x14ac:dyDescent="0.5">
      <c r="A368" s="1" t="s">
        <v>386</v>
      </c>
      <c r="B368" s="1">
        <v>13</v>
      </c>
      <c r="C368" s="1">
        <v>104</v>
      </c>
    </row>
    <row r="369" spans="1:3" x14ac:dyDescent="0.5">
      <c r="A369" s="1" t="s">
        <v>18</v>
      </c>
      <c r="B369" s="1">
        <v>13</v>
      </c>
      <c r="C369" s="1">
        <v>104</v>
      </c>
    </row>
    <row r="370" spans="1:3" x14ac:dyDescent="0.5">
      <c r="A370" s="1" t="s">
        <v>423</v>
      </c>
      <c r="B370" s="1">
        <v>2</v>
      </c>
      <c r="C370" s="1">
        <v>810</v>
      </c>
    </row>
    <row r="371" spans="1:3" x14ac:dyDescent="0.5">
      <c r="A371" s="1" t="s">
        <v>23</v>
      </c>
      <c r="B371" s="1">
        <v>2</v>
      </c>
      <c r="C371" s="1">
        <v>810</v>
      </c>
    </row>
    <row r="372" spans="1:3" x14ac:dyDescent="0.5">
      <c r="A372" s="1" t="s">
        <v>88</v>
      </c>
      <c r="B372" s="1">
        <v>5</v>
      </c>
      <c r="C372" s="1">
        <v>76</v>
      </c>
    </row>
    <row r="373" spans="1:3" x14ac:dyDescent="0.5">
      <c r="A373" s="1" t="s">
        <v>89</v>
      </c>
      <c r="B373" s="1">
        <v>5</v>
      </c>
      <c r="C373" s="1">
        <v>76</v>
      </c>
    </row>
    <row r="374" spans="1:3" x14ac:dyDescent="0.5">
      <c r="A374" s="1" t="s">
        <v>632</v>
      </c>
      <c r="B374" s="1">
        <v>5</v>
      </c>
      <c r="C374" s="1">
        <v>137</v>
      </c>
    </row>
    <row r="375" spans="1:3" x14ac:dyDescent="0.5">
      <c r="A375" s="1" t="s">
        <v>447</v>
      </c>
      <c r="B375" s="1">
        <v>5</v>
      </c>
      <c r="C375" s="1">
        <v>137</v>
      </c>
    </row>
    <row r="376" spans="1:3" x14ac:dyDescent="0.5">
      <c r="A376" s="1" t="s">
        <v>735</v>
      </c>
      <c r="B376" s="1">
        <v>2</v>
      </c>
      <c r="C376" s="1">
        <v>76192</v>
      </c>
    </row>
    <row r="377" spans="1:3" x14ac:dyDescent="0.5">
      <c r="A377" s="1" t="s">
        <v>12</v>
      </c>
      <c r="B377" s="1">
        <v>2</v>
      </c>
      <c r="C377" s="1">
        <v>76192</v>
      </c>
    </row>
    <row r="378" spans="1:3" x14ac:dyDescent="0.5">
      <c r="A378" s="1" t="s">
        <v>283</v>
      </c>
      <c r="B378" s="1">
        <v>5</v>
      </c>
      <c r="C378" s="1">
        <v>124</v>
      </c>
    </row>
    <row r="379" spans="1:3" x14ac:dyDescent="0.5">
      <c r="A379" s="1" t="s">
        <v>33</v>
      </c>
      <c r="B379" s="1">
        <v>5</v>
      </c>
      <c r="C379" s="1">
        <v>124</v>
      </c>
    </row>
    <row r="380" spans="1:3" x14ac:dyDescent="0.5">
      <c r="A380" s="1" t="s">
        <v>30</v>
      </c>
      <c r="B380" s="1">
        <v>6</v>
      </c>
      <c r="C380" s="1">
        <v>318</v>
      </c>
    </row>
    <row r="381" spans="1:3" x14ac:dyDescent="0.5">
      <c r="A381" s="1" t="s">
        <v>31</v>
      </c>
      <c r="B381" s="1">
        <v>6</v>
      </c>
      <c r="C381" s="1">
        <v>318</v>
      </c>
    </row>
    <row r="382" spans="1:3" x14ac:dyDescent="0.5">
      <c r="A382" s="1" t="s">
        <v>678</v>
      </c>
      <c r="B382" s="1">
        <v>6</v>
      </c>
      <c r="C382" s="1">
        <v>156</v>
      </c>
    </row>
    <row r="383" spans="1:3" x14ac:dyDescent="0.5">
      <c r="A383" s="1" t="s">
        <v>18</v>
      </c>
      <c r="B383" s="1">
        <v>6</v>
      </c>
      <c r="C383" s="1">
        <v>156</v>
      </c>
    </row>
    <row r="384" spans="1:3" x14ac:dyDescent="0.5">
      <c r="A384" s="1" t="s">
        <v>539</v>
      </c>
      <c r="B384" s="1">
        <v>6</v>
      </c>
      <c r="C384" s="1">
        <v>32</v>
      </c>
    </row>
    <row r="385" spans="1:3" x14ac:dyDescent="0.5">
      <c r="A385" s="1" t="s">
        <v>33</v>
      </c>
      <c r="B385" s="1">
        <v>6</v>
      </c>
      <c r="C385" s="1">
        <v>32</v>
      </c>
    </row>
    <row r="386" spans="1:3" x14ac:dyDescent="0.5">
      <c r="A386" s="1" t="s">
        <v>667</v>
      </c>
      <c r="B386" s="1">
        <v>3</v>
      </c>
      <c r="C386" s="1">
        <v>9393</v>
      </c>
    </row>
    <row r="387" spans="1:3" x14ac:dyDescent="0.5">
      <c r="A387" s="1" t="s">
        <v>9</v>
      </c>
      <c r="B387" s="1">
        <v>3</v>
      </c>
      <c r="C387" s="1">
        <v>9393</v>
      </c>
    </row>
    <row r="388" spans="1:3" x14ac:dyDescent="0.5">
      <c r="A388" s="1" t="s">
        <v>660</v>
      </c>
      <c r="B388" s="1">
        <v>6</v>
      </c>
      <c r="C388" s="1">
        <v>161</v>
      </c>
    </row>
    <row r="389" spans="1:3" x14ac:dyDescent="0.5">
      <c r="A389" s="1" t="s">
        <v>108</v>
      </c>
      <c r="B389" s="1">
        <v>6</v>
      </c>
      <c r="C389" s="1">
        <v>161</v>
      </c>
    </row>
    <row r="390" spans="1:3" x14ac:dyDescent="0.5">
      <c r="A390" s="1" t="s">
        <v>777</v>
      </c>
      <c r="B390" s="1">
        <v>12</v>
      </c>
      <c r="C390" s="1">
        <v>491</v>
      </c>
    </row>
    <row r="391" spans="1:3" x14ac:dyDescent="0.5">
      <c r="A391" s="1" t="s">
        <v>778</v>
      </c>
      <c r="B391" s="1">
        <v>12</v>
      </c>
      <c r="C391" s="1">
        <v>491</v>
      </c>
    </row>
    <row r="392" spans="1:3" x14ac:dyDescent="0.5">
      <c r="A392" s="1" t="s">
        <v>468</v>
      </c>
      <c r="B392" s="1">
        <v>23</v>
      </c>
      <c r="C392" s="1">
        <v>9</v>
      </c>
    </row>
    <row r="393" spans="1:3" x14ac:dyDescent="0.5">
      <c r="A393" s="1" t="s">
        <v>18</v>
      </c>
      <c r="B393" s="1">
        <v>23</v>
      </c>
      <c r="C393" s="1">
        <v>9</v>
      </c>
    </row>
    <row r="394" spans="1:3" x14ac:dyDescent="0.5">
      <c r="A394" s="1" t="s">
        <v>613</v>
      </c>
      <c r="B394" s="1">
        <v>14</v>
      </c>
      <c r="C394" s="1">
        <v>180</v>
      </c>
    </row>
    <row r="395" spans="1:3" x14ac:dyDescent="0.5">
      <c r="A395" s="1" t="s">
        <v>18</v>
      </c>
      <c r="B395" s="1">
        <v>14</v>
      </c>
      <c r="C395" s="1">
        <v>180</v>
      </c>
    </row>
    <row r="396" spans="1:3" x14ac:dyDescent="0.5">
      <c r="A396" s="1" t="s">
        <v>267</v>
      </c>
      <c r="B396" s="1">
        <v>9</v>
      </c>
      <c r="C396" s="1">
        <v>77</v>
      </c>
    </row>
    <row r="397" spans="1:3" x14ac:dyDescent="0.5">
      <c r="A397" s="1" t="s">
        <v>18</v>
      </c>
      <c r="B397" s="1">
        <v>9</v>
      </c>
      <c r="C397" s="1">
        <v>77</v>
      </c>
    </row>
    <row r="398" spans="1:3" x14ac:dyDescent="0.5">
      <c r="A398" s="1" t="s">
        <v>171</v>
      </c>
      <c r="B398" s="1">
        <v>4</v>
      </c>
      <c r="C398" s="1">
        <v>3784</v>
      </c>
    </row>
    <row r="399" spans="1:3" x14ac:dyDescent="0.5">
      <c r="A399" s="1" t="s">
        <v>9</v>
      </c>
      <c r="B399" s="1">
        <v>4</v>
      </c>
      <c r="C399" s="1">
        <v>3784</v>
      </c>
    </row>
    <row r="400" spans="1:3" x14ac:dyDescent="0.5">
      <c r="A400" s="1" t="s">
        <v>330</v>
      </c>
      <c r="B400" s="1">
        <v>4</v>
      </c>
      <c r="C400" s="1">
        <v>3345</v>
      </c>
    </row>
    <row r="401" spans="1:3" x14ac:dyDescent="0.5">
      <c r="A401" s="1" t="s">
        <v>9</v>
      </c>
      <c r="B401" s="1">
        <v>4</v>
      </c>
      <c r="C401" s="1">
        <v>3345</v>
      </c>
    </row>
    <row r="402" spans="1:3" x14ac:dyDescent="0.5">
      <c r="A402" s="1" t="s">
        <v>118</v>
      </c>
      <c r="B402" s="1">
        <v>7</v>
      </c>
      <c r="C402" s="1">
        <v>279</v>
      </c>
    </row>
    <row r="403" spans="1:3" x14ac:dyDescent="0.5">
      <c r="A403" s="1" t="s">
        <v>18</v>
      </c>
      <c r="B403" s="1">
        <v>7</v>
      </c>
      <c r="C403" s="1">
        <v>279</v>
      </c>
    </row>
    <row r="404" spans="1:3" x14ac:dyDescent="0.5">
      <c r="A404" s="1" t="s">
        <v>593</v>
      </c>
      <c r="B404" s="1">
        <v>10</v>
      </c>
      <c r="C404" s="1">
        <v>185</v>
      </c>
    </row>
    <row r="405" spans="1:3" x14ac:dyDescent="0.5">
      <c r="A405" s="1" t="s">
        <v>577</v>
      </c>
      <c r="B405" s="1">
        <v>10</v>
      </c>
      <c r="C405" s="1">
        <v>185</v>
      </c>
    </row>
    <row r="406" spans="1:3" x14ac:dyDescent="0.5">
      <c r="A406" s="1" t="s">
        <v>291</v>
      </c>
      <c r="B406" s="1">
        <v>12</v>
      </c>
      <c r="C406" s="1">
        <v>76</v>
      </c>
    </row>
    <row r="407" spans="1:3" x14ac:dyDescent="0.5">
      <c r="A407" s="1" t="s">
        <v>18</v>
      </c>
      <c r="B407" s="1">
        <v>12</v>
      </c>
      <c r="C407" s="1">
        <v>76</v>
      </c>
    </row>
    <row r="408" spans="1:3" x14ac:dyDescent="0.5">
      <c r="A408" s="1" t="s">
        <v>282</v>
      </c>
      <c r="B408" s="1">
        <v>4</v>
      </c>
      <c r="C408" s="1">
        <v>57565</v>
      </c>
    </row>
    <row r="409" spans="1:3" x14ac:dyDescent="0.5">
      <c r="A409" s="1" t="s">
        <v>782</v>
      </c>
      <c r="B409" s="1">
        <v>4</v>
      </c>
      <c r="C409" s="1">
        <v>57565</v>
      </c>
    </row>
    <row r="410" spans="1:3" x14ac:dyDescent="0.5">
      <c r="A410" s="1" t="s">
        <v>262</v>
      </c>
      <c r="B410" s="1">
        <v>4</v>
      </c>
      <c r="C410" s="1">
        <v>13059</v>
      </c>
    </row>
    <row r="411" spans="1:3" x14ac:dyDescent="0.5">
      <c r="A411" s="1" t="s">
        <v>9</v>
      </c>
      <c r="B411" s="1">
        <v>4</v>
      </c>
      <c r="C411" s="1">
        <v>13059</v>
      </c>
    </row>
    <row r="412" spans="1:3" x14ac:dyDescent="0.5">
      <c r="A412" s="1" t="s">
        <v>545</v>
      </c>
      <c r="B412" s="1">
        <v>4</v>
      </c>
      <c r="C412" s="1">
        <v>15863</v>
      </c>
    </row>
    <row r="413" spans="1:3" x14ac:dyDescent="0.5">
      <c r="A413" s="1" t="s">
        <v>9</v>
      </c>
      <c r="B413" s="1">
        <v>4</v>
      </c>
      <c r="C413" s="1">
        <v>15863</v>
      </c>
    </row>
    <row r="414" spans="1:3" x14ac:dyDescent="0.5">
      <c r="A414" s="1" t="s">
        <v>178</v>
      </c>
      <c r="B414" s="1">
        <v>4</v>
      </c>
      <c r="C414" s="1">
        <v>197</v>
      </c>
    </row>
    <row r="415" spans="1:3" x14ac:dyDescent="0.5">
      <c r="A415" s="1" t="s">
        <v>23</v>
      </c>
      <c r="B415" s="1">
        <v>4</v>
      </c>
      <c r="C415" s="1">
        <v>197</v>
      </c>
    </row>
    <row r="416" spans="1:3" x14ac:dyDescent="0.5">
      <c r="A416" s="1" t="s">
        <v>115</v>
      </c>
      <c r="B416" s="1">
        <v>4</v>
      </c>
      <c r="C416" s="1">
        <v>1557</v>
      </c>
    </row>
    <row r="417" spans="1:3" x14ac:dyDescent="0.5">
      <c r="A417" s="1" t="s">
        <v>23</v>
      </c>
      <c r="B417" s="1">
        <v>4</v>
      </c>
      <c r="C417" s="1">
        <v>1557</v>
      </c>
    </row>
    <row r="418" spans="1:3" x14ac:dyDescent="0.5">
      <c r="A418" s="1" t="s">
        <v>209</v>
      </c>
      <c r="B418" s="1">
        <v>4</v>
      </c>
      <c r="C418" s="1">
        <v>1047</v>
      </c>
    </row>
    <row r="419" spans="1:3" x14ac:dyDescent="0.5">
      <c r="A419" s="1" t="s">
        <v>23</v>
      </c>
      <c r="B419" s="1">
        <v>4</v>
      </c>
      <c r="C419" s="1">
        <v>1047</v>
      </c>
    </row>
    <row r="420" spans="1:3" x14ac:dyDescent="0.5">
      <c r="A420" s="1" t="s">
        <v>360</v>
      </c>
      <c r="B420" s="1">
        <v>13</v>
      </c>
      <c r="C420" s="1">
        <v>391</v>
      </c>
    </row>
    <row r="421" spans="1:3" x14ac:dyDescent="0.5">
      <c r="A421" s="1" t="s">
        <v>18</v>
      </c>
      <c r="B421" s="1">
        <v>13</v>
      </c>
      <c r="C421" s="1">
        <v>391</v>
      </c>
    </row>
    <row r="422" spans="1:3" x14ac:dyDescent="0.5">
      <c r="A422" s="1" t="s">
        <v>259</v>
      </c>
      <c r="B422" s="1">
        <v>1</v>
      </c>
      <c r="C422" s="1">
        <v>57004</v>
      </c>
    </row>
    <row r="423" spans="1:3" x14ac:dyDescent="0.5">
      <c r="A423" s="1" t="s">
        <v>12</v>
      </c>
      <c r="B423" s="1">
        <v>1</v>
      </c>
      <c r="C423" s="1">
        <v>57004</v>
      </c>
    </row>
    <row r="424" spans="1:3" x14ac:dyDescent="0.5">
      <c r="A424" s="1" t="s">
        <v>588</v>
      </c>
      <c r="B424" s="1">
        <v>6</v>
      </c>
      <c r="C424" s="1">
        <v>322</v>
      </c>
    </row>
    <row r="425" spans="1:3" x14ac:dyDescent="0.5">
      <c r="A425" s="1" t="s">
        <v>39</v>
      </c>
      <c r="B425" s="1">
        <v>6</v>
      </c>
      <c r="C425" s="1">
        <v>322</v>
      </c>
    </row>
    <row r="426" spans="1:3" x14ac:dyDescent="0.5">
      <c r="A426" s="1" t="s">
        <v>569</v>
      </c>
      <c r="B426" s="1">
        <v>10</v>
      </c>
      <c r="C426" s="1">
        <v>31</v>
      </c>
    </row>
    <row r="427" spans="1:3" x14ac:dyDescent="0.5">
      <c r="A427" s="1" t="s">
        <v>18</v>
      </c>
      <c r="B427" s="1">
        <v>10</v>
      </c>
      <c r="C427" s="1">
        <v>31</v>
      </c>
    </row>
    <row r="428" spans="1:3" x14ac:dyDescent="0.5">
      <c r="A428" s="1" t="s">
        <v>448</v>
      </c>
      <c r="B428" s="1">
        <v>6</v>
      </c>
      <c r="C428" s="1">
        <v>4</v>
      </c>
    </row>
    <row r="429" spans="1:3" x14ac:dyDescent="0.5">
      <c r="A429" s="1" t="s">
        <v>449</v>
      </c>
      <c r="B429" s="1">
        <v>6</v>
      </c>
      <c r="C429" s="1">
        <v>4</v>
      </c>
    </row>
    <row r="430" spans="1:3" x14ac:dyDescent="0.5">
      <c r="A430" s="1" t="s">
        <v>742</v>
      </c>
      <c r="B430" s="1">
        <v>1</v>
      </c>
      <c r="C430" s="1">
        <v>5905</v>
      </c>
    </row>
    <row r="431" spans="1:3" x14ac:dyDescent="0.5">
      <c r="A431" s="1" t="s">
        <v>9</v>
      </c>
      <c r="B431" s="1">
        <v>1</v>
      </c>
      <c r="C431" s="1">
        <v>5905</v>
      </c>
    </row>
    <row r="432" spans="1:3" x14ac:dyDescent="0.5">
      <c r="A432" s="1" t="s">
        <v>519</v>
      </c>
      <c r="B432" s="1">
        <v>5</v>
      </c>
      <c r="C432" s="1">
        <v>181</v>
      </c>
    </row>
    <row r="433" spans="1:3" x14ac:dyDescent="0.5">
      <c r="A433" s="1" t="s">
        <v>16</v>
      </c>
      <c r="B433" s="1">
        <v>5</v>
      </c>
      <c r="C433" s="1">
        <v>181</v>
      </c>
    </row>
    <row r="434" spans="1:3" x14ac:dyDescent="0.5">
      <c r="A434" s="1" t="s">
        <v>722</v>
      </c>
      <c r="B434" s="1">
        <v>9</v>
      </c>
      <c r="C434" s="1">
        <v>22</v>
      </c>
    </row>
    <row r="435" spans="1:3" x14ac:dyDescent="0.5">
      <c r="A435" s="1" t="s">
        <v>18</v>
      </c>
      <c r="B435" s="1">
        <v>9</v>
      </c>
      <c r="C435" s="1">
        <v>22</v>
      </c>
    </row>
    <row r="436" spans="1:3" x14ac:dyDescent="0.5">
      <c r="A436" s="1" t="s">
        <v>642</v>
      </c>
      <c r="B436" s="1">
        <v>6</v>
      </c>
      <c r="C436" s="1">
        <v>32</v>
      </c>
    </row>
    <row r="437" spans="1:3" x14ac:dyDescent="0.5">
      <c r="A437" s="1" t="s">
        <v>643</v>
      </c>
      <c r="B437" s="1">
        <v>6</v>
      </c>
      <c r="C437" s="1">
        <v>32</v>
      </c>
    </row>
    <row r="438" spans="1:3" x14ac:dyDescent="0.5">
      <c r="A438" s="1" t="s">
        <v>293</v>
      </c>
      <c r="B438" s="1">
        <v>2</v>
      </c>
      <c r="C438" s="1">
        <v>17958</v>
      </c>
    </row>
    <row r="439" spans="1:3" x14ac:dyDescent="0.5">
      <c r="A439" s="1" t="s">
        <v>9</v>
      </c>
      <c r="B439" s="1">
        <v>2</v>
      </c>
      <c r="C439" s="1">
        <v>17958</v>
      </c>
    </row>
    <row r="440" spans="1:3" x14ac:dyDescent="0.5">
      <c r="A440" s="1" t="s">
        <v>679</v>
      </c>
      <c r="B440" s="1">
        <v>1</v>
      </c>
      <c r="C440" s="1">
        <v>3862</v>
      </c>
    </row>
    <row r="441" spans="1:3" x14ac:dyDescent="0.5">
      <c r="A441" s="1" t="s">
        <v>9</v>
      </c>
      <c r="B441" s="1">
        <v>1</v>
      </c>
      <c r="C441" s="1">
        <v>3862</v>
      </c>
    </row>
    <row r="442" spans="1:3" x14ac:dyDescent="0.5">
      <c r="A442" s="1" t="s">
        <v>450</v>
      </c>
      <c r="B442" s="1">
        <v>7</v>
      </c>
      <c r="C442" s="1">
        <v>22</v>
      </c>
    </row>
    <row r="443" spans="1:3" x14ac:dyDescent="0.5">
      <c r="A443" s="1" t="s">
        <v>451</v>
      </c>
      <c r="B443" s="1">
        <v>7</v>
      </c>
      <c r="C443" s="1">
        <v>22</v>
      </c>
    </row>
    <row r="444" spans="1:3" x14ac:dyDescent="0.5">
      <c r="A444" s="1" t="s">
        <v>748</v>
      </c>
      <c r="B444" s="1">
        <v>8</v>
      </c>
      <c r="C444" s="1">
        <v>64</v>
      </c>
    </row>
    <row r="445" spans="1:3" x14ac:dyDescent="0.5">
      <c r="A445" s="1" t="s">
        <v>39</v>
      </c>
      <c r="B445" s="1">
        <v>8</v>
      </c>
      <c r="C445" s="1">
        <v>64</v>
      </c>
    </row>
    <row r="446" spans="1:3" x14ac:dyDescent="0.5">
      <c r="A446" s="1" t="s">
        <v>635</v>
      </c>
      <c r="B446" s="1">
        <v>8</v>
      </c>
      <c r="C446" s="1">
        <v>108</v>
      </c>
    </row>
    <row r="447" spans="1:3" x14ac:dyDescent="0.5">
      <c r="A447" s="1" t="s">
        <v>18</v>
      </c>
      <c r="B447" s="1">
        <v>8</v>
      </c>
      <c r="C447" s="1">
        <v>108</v>
      </c>
    </row>
    <row r="448" spans="1:3" x14ac:dyDescent="0.5">
      <c r="A448" s="1" t="s">
        <v>583</v>
      </c>
      <c r="B448" s="1">
        <v>2</v>
      </c>
      <c r="C448" s="1">
        <v>367</v>
      </c>
    </row>
    <row r="449" spans="1:3" x14ac:dyDescent="0.5">
      <c r="A449" s="1" t="s">
        <v>584</v>
      </c>
      <c r="B449" s="1">
        <v>2</v>
      </c>
      <c r="C449" s="1">
        <v>367</v>
      </c>
    </row>
    <row r="450" spans="1:3" x14ac:dyDescent="0.5">
      <c r="A450" s="1" t="s">
        <v>654</v>
      </c>
      <c r="B450" s="1">
        <v>14</v>
      </c>
      <c r="C450" s="1">
        <v>74</v>
      </c>
    </row>
    <row r="451" spans="1:3" x14ac:dyDescent="0.5">
      <c r="A451" s="1" t="s">
        <v>18</v>
      </c>
      <c r="B451" s="1">
        <v>14</v>
      </c>
      <c r="C451" s="1">
        <v>74</v>
      </c>
    </row>
    <row r="452" spans="1:3" x14ac:dyDescent="0.5">
      <c r="A452" s="1" t="s">
        <v>550</v>
      </c>
      <c r="B452" s="1">
        <v>9</v>
      </c>
      <c r="C452" s="1">
        <v>195</v>
      </c>
    </row>
    <row r="453" spans="1:3" x14ac:dyDescent="0.5">
      <c r="A453" s="1" t="s">
        <v>18</v>
      </c>
      <c r="B453" s="1">
        <v>9</v>
      </c>
      <c r="C453" s="1">
        <v>195</v>
      </c>
    </row>
    <row r="454" spans="1:3" x14ac:dyDescent="0.5">
      <c r="A454" s="1" t="s">
        <v>174</v>
      </c>
      <c r="B454" s="1">
        <v>6</v>
      </c>
      <c r="C454" s="1">
        <v>250</v>
      </c>
    </row>
    <row r="455" spans="1:3" x14ac:dyDescent="0.5">
      <c r="A455" s="1" t="s">
        <v>18</v>
      </c>
      <c r="B455" s="1">
        <v>6</v>
      </c>
      <c r="C455" s="1">
        <v>250</v>
      </c>
    </row>
    <row r="456" spans="1:3" x14ac:dyDescent="0.5">
      <c r="A456" s="1" t="s">
        <v>112</v>
      </c>
      <c r="B456" s="1">
        <v>1</v>
      </c>
      <c r="C456" s="1">
        <v>88040</v>
      </c>
    </row>
    <row r="457" spans="1:3" x14ac:dyDescent="0.5">
      <c r="A457" s="1" t="s">
        <v>12</v>
      </c>
      <c r="B457" s="1">
        <v>1</v>
      </c>
      <c r="C457" s="1">
        <v>88040</v>
      </c>
    </row>
    <row r="458" spans="1:3" x14ac:dyDescent="0.5">
      <c r="A458" s="1" t="s">
        <v>147</v>
      </c>
      <c r="B458" s="1">
        <v>3</v>
      </c>
      <c r="C458" s="1">
        <v>8688</v>
      </c>
    </row>
    <row r="459" spans="1:3" x14ac:dyDescent="0.5">
      <c r="A459" s="1" t="s">
        <v>9</v>
      </c>
      <c r="B459" s="1">
        <v>3</v>
      </c>
      <c r="C459" s="1">
        <v>8688</v>
      </c>
    </row>
    <row r="460" spans="1:3" x14ac:dyDescent="0.5">
      <c r="A460" s="1" t="s">
        <v>96</v>
      </c>
      <c r="B460" s="1">
        <v>11</v>
      </c>
      <c r="C460" s="1">
        <v>214</v>
      </c>
    </row>
    <row r="461" spans="1:3" x14ac:dyDescent="0.5">
      <c r="A461" s="1" t="s">
        <v>18</v>
      </c>
      <c r="B461" s="1">
        <v>11</v>
      </c>
      <c r="C461" s="1">
        <v>214</v>
      </c>
    </row>
    <row r="462" spans="1:3" x14ac:dyDescent="0.5">
      <c r="A462" s="1" t="s">
        <v>536</v>
      </c>
      <c r="B462" s="1">
        <v>3</v>
      </c>
      <c r="C462" s="1">
        <v>7172</v>
      </c>
    </row>
    <row r="463" spans="1:3" x14ac:dyDescent="0.5">
      <c r="A463" s="1" t="s">
        <v>9</v>
      </c>
      <c r="B463" s="1">
        <v>3</v>
      </c>
      <c r="C463" s="1">
        <v>7172</v>
      </c>
    </row>
    <row r="464" spans="1:3" x14ac:dyDescent="0.5">
      <c r="A464" s="1" t="s">
        <v>404</v>
      </c>
      <c r="B464" s="1">
        <v>5</v>
      </c>
      <c r="C464" s="1">
        <v>214</v>
      </c>
    </row>
    <row r="465" spans="1:3" x14ac:dyDescent="0.5">
      <c r="A465" s="1" t="s">
        <v>405</v>
      </c>
      <c r="B465" s="1">
        <v>5</v>
      </c>
      <c r="C465" s="1">
        <v>214</v>
      </c>
    </row>
    <row r="466" spans="1:3" x14ac:dyDescent="0.5">
      <c r="A466" s="1" t="s">
        <v>604</v>
      </c>
      <c r="B466" s="1">
        <v>8</v>
      </c>
      <c r="C466" s="1">
        <v>41</v>
      </c>
    </row>
    <row r="467" spans="1:3" x14ac:dyDescent="0.5">
      <c r="A467" s="1" t="s">
        <v>332</v>
      </c>
      <c r="B467" s="1">
        <v>8</v>
      </c>
      <c r="C467" s="1">
        <v>41</v>
      </c>
    </row>
    <row r="468" spans="1:3" x14ac:dyDescent="0.5">
      <c r="A468" s="1" t="s">
        <v>322</v>
      </c>
      <c r="B468" s="1">
        <v>2</v>
      </c>
      <c r="C468" s="1">
        <v>52134</v>
      </c>
    </row>
    <row r="469" spans="1:3" x14ac:dyDescent="0.5">
      <c r="A469" s="1" t="s">
        <v>12</v>
      </c>
      <c r="B469" s="1">
        <v>2</v>
      </c>
      <c r="C469" s="1">
        <v>52134</v>
      </c>
    </row>
    <row r="470" spans="1:3" x14ac:dyDescent="0.5">
      <c r="A470" s="1" t="s">
        <v>120</v>
      </c>
      <c r="B470" s="1">
        <v>2</v>
      </c>
      <c r="C470" s="1">
        <v>79289</v>
      </c>
    </row>
    <row r="471" spans="1:3" x14ac:dyDescent="0.5">
      <c r="A471" s="1" t="s">
        <v>12</v>
      </c>
      <c r="B471" s="1">
        <v>2</v>
      </c>
      <c r="C471" s="1">
        <v>79289</v>
      </c>
    </row>
    <row r="472" spans="1:3" x14ac:dyDescent="0.5">
      <c r="A472" s="1" t="s">
        <v>308</v>
      </c>
      <c r="B472" s="1">
        <v>7</v>
      </c>
      <c r="C472" s="1">
        <v>89</v>
      </c>
    </row>
    <row r="473" spans="1:3" x14ac:dyDescent="0.5">
      <c r="A473" s="1" t="s">
        <v>309</v>
      </c>
      <c r="B473" s="1">
        <v>7</v>
      </c>
      <c r="C473" s="1">
        <v>89</v>
      </c>
    </row>
    <row r="474" spans="1:3" x14ac:dyDescent="0.5">
      <c r="A474" s="1" t="s">
        <v>105</v>
      </c>
      <c r="B474" s="1">
        <v>7</v>
      </c>
      <c r="C474" s="1">
        <v>56</v>
      </c>
    </row>
    <row r="475" spans="1:3" x14ac:dyDescent="0.5">
      <c r="A475" s="1" t="s">
        <v>106</v>
      </c>
      <c r="B475" s="1">
        <v>7</v>
      </c>
      <c r="C475" s="1">
        <v>56</v>
      </c>
    </row>
    <row r="476" spans="1:3" x14ac:dyDescent="0.5">
      <c r="A476" s="1" t="s">
        <v>151</v>
      </c>
      <c r="B476" s="1">
        <v>6</v>
      </c>
      <c r="C476" s="1">
        <v>555</v>
      </c>
    </row>
    <row r="477" spans="1:3" x14ac:dyDescent="0.5">
      <c r="A477" s="1" t="s">
        <v>108</v>
      </c>
      <c r="B477" s="1">
        <v>6</v>
      </c>
      <c r="C477" s="1">
        <v>555</v>
      </c>
    </row>
    <row r="478" spans="1:3" x14ac:dyDescent="0.5">
      <c r="A478" s="1" t="s">
        <v>764</v>
      </c>
      <c r="B478" s="1">
        <v>12</v>
      </c>
      <c r="C478" s="1">
        <v>122</v>
      </c>
    </row>
    <row r="479" spans="1:3" x14ac:dyDescent="0.5">
      <c r="A479" s="1" t="s">
        <v>18</v>
      </c>
      <c r="B479" s="1">
        <v>12</v>
      </c>
      <c r="C479" s="1">
        <v>122</v>
      </c>
    </row>
    <row r="480" spans="1:3" x14ac:dyDescent="0.5">
      <c r="A480" s="1" t="s">
        <v>486</v>
      </c>
      <c r="B480" s="1">
        <v>2</v>
      </c>
      <c r="C480" s="1">
        <v>6770</v>
      </c>
    </row>
    <row r="481" spans="1:3" x14ac:dyDescent="0.5">
      <c r="A481" s="1" t="s">
        <v>9</v>
      </c>
      <c r="B481" s="1">
        <v>2</v>
      </c>
      <c r="C481" s="1">
        <v>6770</v>
      </c>
    </row>
    <row r="482" spans="1:3" x14ac:dyDescent="0.5">
      <c r="A482" s="1" t="s">
        <v>701</v>
      </c>
      <c r="B482" s="1">
        <v>2</v>
      </c>
      <c r="C482" s="1">
        <v>82896</v>
      </c>
    </row>
    <row r="483" spans="1:3" x14ac:dyDescent="0.5">
      <c r="A483" s="1" t="s">
        <v>782</v>
      </c>
      <c r="B483" s="1">
        <v>2</v>
      </c>
      <c r="C483" s="1">
        <v>82896</v>
      </c>
    </row>
    <row r="484" spans="1:3" x14ac:dyDescent="0.5">
      <c r="A484" s="1" t="s">
        <v>680</v>
      </c>
      <c r="B484" s="1">
        <v>2</v>
      </c>
      <c r="C484" s="1">
        <v>57610</v>
      </c>
    </row>
    <row r="485" spans="1:3" x14ac:dyDescent="0.5">
      <c r="A485" s="1" t="s">
        <v>12</v>
      </c>
      <c r="B485" s="1">
        <v>2</v>
      </c>
      <c r="C485" s="1">
        <v>57610</v>
      </c>
    </row>
    <row r="486" spans="1:3" x14ac:dyDescent="0.5">
      <c r="A486" s="1" t="s">
        <v>347</v>
      </c>
      <c r="B486" s="1">
        <v>2</v>
      </c>
      <c r="C486" s="1">
        <v>8465</v>
      </c>
    </row>
    <row r="487" spans="1:3" x14ac:dyDescent="0.5">
      <c r="A487" s="1" t="s">
        <v>9</v>
      </c>
      <c r="B487" s="1">
        <v>2</v>
      </c>
      <c r="C487" s="1">
        <v>8465</v>
      </c>
    </row>
    <row r="488" spans="1:3" x14ac:dyDescent="0.5">
      <c r="A488" s="1" t="s">
        <v>424</v>
      </c>
      <c r="B488" s="1">
        <v>3</v>
      </c>
      <c r="C488" s="1">
        <v>73094</v>
      </c>
    </row>
    <row r="489" spans="1:3" x14ac:dyDescent="0.5">
      <c r="A489" s="1" t="s">
        <v>12</v>
      </c>
      <c r="B489" s="1">
        <v>3</v>
      </c>
      <c r="C489" s="1">
        <v>73094</v>
      </c>
    </row>
    <row r="490" spans="1:3" x14ac:dyDescent="0.5">
      <c r="A490" s="1" t="s">
        <v>371</v>
      </c>
      <c r="B490" s="1">
        <v>9</v>
      </c>
      <c r="C490" s="1">
        <v>196</v>
      </c>
    </row>
    <row r="491" spans="1:3" x14ac:dyDescent="0.5">
      <c r="A491" s="1" t="s">
        <v>18</v>
      </c>
      <c r="B491" s="1">
        <v>9</v>
      </c>
      <c r="C491" s="1">
        <v>196</v>
      </c>
    </row>
    <row r="492" spans="1:3" x14ac:dyDescent="0.5">
      <c r="A492" s="1" t="s">
        <v>200</v>
      </c>
      <c r="B492" s="1">
        <v>7</v>
      </c>
      <c r="C492" s="1">
        <v>76</v>
      </c>
    </row>
    <row r="493" spans="1:3" x14ac:dyDescent="0.5">
      <c r="A493" s="1" t="s">
        <v>18</v>
      </c>
      <c r="B493" s="1">
        <v>7</v>
      </c>
      <c r="C493" s="1">
        <v>76</v>
      </c>
    </row>
    <row r="494" spans="1:3" x14ac:dyDescent="0.5">
      <c r="A494" s="1" t="s">
        <v>136</v>
      </c>
      <c r="B494" s="1">
        <v>2</v>
      </c>
      <c r="C494" s="1">
        <v>2128</v>
      </c>
    </row>
    <row r="495" spans="1:3" x14ac:dyDescent="0.5">
      <c r="A495" s="1" t="s">
        <v>23</v>
      </c>
      <c r="B495" s="1">
        <v>2</v>
      </c>
      <c r="C495" s="1">
        <v>2128</v>
      </c>
    </row>
    <row r="496" spans="1:3" x14ac:dyDescent="0.5">
      <c r="A496" s="1" t="s">
        <v>410</v>
      </c>
      <c r="B496" s="1">
        <v>2</v>
      </c>
      <c r="C496" s="1">
        <v>64951</v>
      </c>
    </row>
    <row r="497" spans="1:3" x14ac:dyDescent="0.5">
      <c r="A497" s="1" t="s">
        <v>782</v>
      </c>
      <c r="B497" s="1">
        <v>2</v>
      </c>
      <c r="C497" s="1">
        <v>64951</v>
      </c>
    </row>
    <row r="498" spans="1:3" x14ac:dyDescent="0.5">
      <c r="A498" s="1" t="s">
        <v>292</v>
      </c>
      <c r="B498" s="1">
        <v>1</v>
      </c>
      <c r="C498" s="1">
        <v>52019</v>
      </c>
    </row>
    <row r="499" spans="1:3" x14ac:dyDescent="0.5">
      <c r="A499" s="1" t="s">
        <v>782</v>
      </c>
      <c r="B499" s="1">
        <v>1</v>
      </c>
      <c r="C499" s="1">
        <v>52019</v>
      </c>
    </row>
    <row r="500" spans="1:3" x14ac:dyDescent="0.5">
      <c r="A500" s="1" t="s">
        <v>241</v>
      </c>
      <c r="B500" s="1">
        <v>1</v>
      </c>
      <c r="C500" s="1">
        <v>246</v>
      </c>
    </row>
    <row r="501" spans="1:3" x14ac:dyDescent="0.5">
      <c r="A501" s="1" t="s">
        <v>23</v>
      </c>
      <c r="B501" s="1">
        <v>1</v>
      </c>
      <c r="C501" s="1">
        <v>246</v>
      </c>
    </row>
    <row r="502" spans="1:3" x14ac:dyDescent="0.5">
      <c r="A502" s="1" t="s">
        <v>674</v>
      </c>
      <c r="B502" s="1">
        <v>2</v>
      </c>
      <c r="C502" s="1">
        <v>3453</v>
      </c>
    </row>
    <row r="503" spans="1:3" x14ac:dyDescent="0.5">
      <c r="A503" s="1" t="s">
        <v>9</v>
      </c>
      <c r="B503" s="1">
        <v>2</v>
      </c>
      <c r="C503" s="1">
        <v>3453</v>
      </c>
    </row>
    <row r="504" spans="1:3" x14ac:dyDescent="0.5">
      <c r="A504" s="1" t="s">
        <v>260</v>
      </c>
      <c r="B504" s="1">
        <v>2</v>
      </c>
      <c r="C504" s="1">
        <v>27181</v>
      </c>
    </row>
    <row r="505" spans="1:3" x14ac:dyDescent="0.5">
      <c r="A505" s="1" t="s">
        <v>782</v>
      </c>
      <c r="B505" s="1">
        <v>2</v>
      </c>
      <c r="C505" s="1">
        <v>27181</v>
      </c>
    </row>
    <row r="506" spans="1:3" x14ac:dyDescent="0.5">
      <c r="A506" s="1" t="s">
        <v>683</v>
      </c>
      <c r="B506" s="1">
        <v>5</v>
      </c>
      <c r="C506" s="1">
        <v>145</v>
      </c>
    </row>
    <row r="507" spans="1:3" x14ac:dyDescent="0.5">
      <c r="A507" s="1" t="s">
        <v>76</v>
      </c>
      <c r="B507" s="1">
        <v>5</v>
      </c>
      <c r="C507" s="1">
        <v>145</v>
      </c>
    </row>
    <row r="508" spans="1:3" x14ac:dyDescent="0.5">
      <c r="A508" s="1" t="s">
        <v>409</v>
      </c>
      <c r="B508" s="1">
        <v>1</v>
      </c>
      <c r="C508" s="1">
        <v>702</v>
      </c>
    </row>
    <row r="509" spans="1:3" x14ac:dyDescent="0.5">
      <c r="A509" s="1" t="s">
        <v>23</v>
      </c>
      <c r="B509" s="1">
        <v>1</v>
      </c>
      <c r="C509" s="1">
        <v>702</v>
      </c>
    </row>
    <row r="510" spans="1:3" x14ac:dyDescent="0.5">
      <c r="A510" s="1" t="s">
        <v>306</v>
      </c>
      <c r="B510" s="1">
        <v>5</v>
      </c>
      <c r="C510" s="1">
        <v>65</v>
      </c>
    </row>
    <row r="511" spans="1:3" x14ac:dyDescent="0.5">
      <c r="A511" s="1" t="s">
        <v>47</v>
      </c>
      <c r="B511" s="1">
        <v>5</v>
      </c>
      <c r="C511" s="1">
        <v>65</v>
      </c>
    </row>
    <row r="512" spans="1:3" x14ac:dyDescent="0.5">
      <c r="A512" s="1" t="s">
        <v>387</v>
      </c>
      <c r="B512" s="1">
        <v>1</v>
      </c>
      <c r="C512" s="1">
        <v>1134</v>
      </c>
    </row>
    <row r="513" spans="1:3" x14ac:dyDescent="0.5">
      <c r="A513" s="1" t="s">
        <v>23</v>
      </c>
      <c r="B513" s="1">
        <v>1</v>
      </c>
      <c r="C513" s="1">
        <v>1134</v>
      </c>
    </row>
    <row r="514" spans="1:3" x14ac:dyDescent="0.5">
      <c r="A514" s="1" t="s">
        <v>163</v>
      </c>
      <c r="B514" s="1">
        <v>5</v>
      </c>
      <c r="C514" s="1">
        <v>162</v>
      </c>
    </row>
    <row r="515" spans="1:3" x14ac:dyDescent="0.5">
      <c r="A515" s="1" t="s">
        <v>143</v>
      </c>
      <c r="B515" s="1">
        <v>5</v>
      </c>
      <c r="C515" s="1">
        <v>162</v>
      </c>
    </row>
    <row r="516" spans="1:3" x14ac:dyDescent="0.5">
      <c r="A516" s="1" t="s">
        <v>602</v>
      </c>
      <c r="B516" s="1">
        <v>7</v>
      </c>
      <c r="C516" s="1">
        <v>126</v>
      </c>
    </row>
    <row r="517" spans="1:3" x14ac:dyDescent="0.5">
      <c r="A517" s="1" t="s">
        <v>603</v>
      </c>
      <c r="B517" s="1">
        <v>7</v>
      </c>
      <c r="C517" s="1">
        <v>126</v>
      </c>
    </row>
    <row r="518" spans="1:3" x14ac:dyDescent="0.5">
      <c r="A518" s="1" t="s">
        <v>218</v>
      </c>
      <c r="B518" s="1">
        <v>3</v>
      </c>
      <c r="C518" s="1">
        <v>3908</v>
      </c>
    </row>
    <row r="519" spans="1:3" x14ac:dyDescent="0.5">
      <c r="A519" s="1" t="s">
        <v>9</v>
      </c>
      <c r="B519" s="1">
        <v>3</v>
      </c>
      <c r="C519" s="1">
        <v>3908</v>
      </c>
    </row>
    <row r="520" spans="1:3" x14ac:dyDescent="0.5">
      <c r="A520" s="1" t="s">
        <v>766</v>
      </c>
      <c r="B520" s="1">
        <v>2</v>
      </c>
      <c r="C520" s="1">
        <v>107367</v>
      </c>
    </row>
    <row r="521" spans="1:3" x14ac:dyDescent="0.5">
      <c r="A521" s="1" t="s">
        <v>782</v>
      </c>
      <c r="B521" s="1">
        <v>2</v>
      </c>
      <c r="C521" s="1">
        <v>107367</v>
      </c>
    </row>
    <row r="522" spans="1:3" x14ac:dyDescent="0.5">
      <c r="A522" s="1" t="s">
        <v>146</v>
      </c>
      <c r="B522" s="1">
        <v>1</v>
      </c>
      <c r="C522" s="1">
        <v>41641</v>
      </c>
    </row>
    <row r="523" spans="1:3" x14ac:dyDescent="0.5">
      <c r="A523" s="1" t="s">
        <v>782</v>
      </c>
      <c r="B523" s="1">
        <v>1</v>
      </c>
      <c r="C523" s="1">
        <v>41641</v>
      </c>
    </row>
    <row r="524" spans="1:3" x14ac:dyDescent="0.5">
      <c r="A524" s="1" t="s">
        <v>149</v>
      </c>
      <c r="B524" s="1">
        <v>5</v>
      </c>
      <c r="C524" s="1">
        <v>151</v>
      </c>
    </row>
    <row r="525" spans="1:3" x14ac:dyDescent="0.5">
      <c r="A525" s="1" t="s">
        <v>150</v>
      </c>
      <c r="B525" s="1">
        <v>5</v>
      </c>
      <c r="C525" s="1">
        <v>151</v>
      </c>
    </row>
    <row r="526" spans="1:3" x14ac:dyDescent="0.5">
      <c r="A526" s="1" t="s">
        <v>307</v>
      </c>
      <c r="B526" s="1">
        <v>6</v>
      </c>
      <c r="C526" s="1">
        <v>225</v>
      </c>
    </row>
    <row r="527" spans="1:3" x14ac:dyDescent="0.5">
      <c r="A527" s="1" t="s">
        <v>264</v>
      </c>
      <c r="B527" s="1">
        <v>6</v>
      </c>
      <c r="C527" s="1">
        <v>225</v>
      </c>
    </row>
    <row r="528" spans="1:3" x14ac:dyDescent="0.5">
      <c r="A528" s="1" t="s">
        <v>193</v>
      </c>
      <c r="B528" s="1">
        <v>1</v>
      </c>
      <c r="C528" s="1">
        <v>56869</v>
      </c>
    </row>
    <row r="529" spans="1:3" x14ac:dyDescent="0.5">
      <c r="A529" s="1" t="s">
        <v>782</v>
      </c>
      <c r="B529" s="1">
        <v>1</v>
      </c>
      <c r="C529" s="1">
        <v>56869</v>
      </c>
    </row>
    <row r="530" spans="1:3" x14ac:dyDescent="0.5">
      <c r="A530" s="1" t="s">
        <v>515</v>
      </c>
      <c r="B530" s="1">
        <v>1</v>
      </c>
      <c r="C530" s="1">
        <v>80469</v>
      </c>
    </row>
    <row r="531" spans="1:3" x14ac:dyDescent="0.5">
      <c r="A531" s="1" t="s">
        <v>782</v>
      </c>
      <c r="B531" s="1">
        <v>1</v>
      </c>
      <c r="C531" s="1">
        <v>80469</v>
      </c>
    </row>
    <row r="532" spans="1:3" x14ac:dyDescent="0.5">
      <c r="A532" s="1" t="s">
        <v>331</v>
      </c>
      <c r="B532" s="1">
        <v>5</v>
      </c>
      <c r="C532" s="1">
        <v>48</v>
      </c>
    </row>
    <row r="533" spans="1:3" x14ac:dyDescent="0.5">
      <c r="A533" s="1" t="s">
        <v>332</v>
      </c>
      <c r="B533" s="1">
        <v>5</v>
      </c>
      <c r="C533" s="1">
        <v>48</v>
      </c>
    </row>
    <row r="534" spans="1:3" x14ac:dyDescent="0.5">
      <c r="A534" s="1" t="s">
        <v>245</v>
      </c>
      <c r="B534" s="1">
        <v>5</v>
      </c>
      <c r="C534" s="1">
        <v>81</v>
      </c>
    </row>
    <row r="535" spans="1:3" x14ac:dyDescent="0.5">
      <c r="A535" s="1" t="s">
        <v>39</v>
      </c>
      <c r="B535" s="1">
        <v>5</v>
      </c>
      <c r="C535" s="1">
        <v>81</v>
      </c>
    </row>
    <row r="536" spans="1:3" x14ac:dyDescent="0.5">
      <c r="A536" s="1" t="s">
        <v>172</v>
      </c>
      <c r="B536" s="1">
        <v>5</v>
      </c>
      <c r="C536" s="1">
        <v>171</v>
      </c>
    </row>
    <row r="537" spans="1:3" x14ac:dyDescent="0.5">
      <c r="A537" s="1" t="s">
        <v>173</v>
      </c>
      <c r="B537" s="1">
        <v>5</v>
      </c>
      <c r="C537" s="1">
        <v>171</v>
      </c>
    </row>
    <row r="538" spans="1:3" x14ac:dyDescent="0.5">
      <c r="A538" s="1" t="s">
        <v>576</v>
      </c>
      <c r="B538" s="1">
        <v>5</v>
      </c>
      <c r="C538" s="1">
        <v>133</v>
      </c>
    </row>
    <row r="539" spans="1:3" x14ac:dyDescent="0.5">
      <c r="A539" s="1" t="s">
        <v>577</v>
      </c>
      <c r="B539" s="1">
        <v>5</v>
      </c>
      <c r="C539" s="1">
        <v>133</v>
      </c>
    </row>
    <row r="540" spans="1:3" x14ac:dyDescent="0.5">
      <c r="A540" s="1" t="s">
        <v>535</v>
      </c>
      <c r="B540" s="1">
        <v>2</v>
      </c>
      <c r="C540" s="1">
        <v>42055</v>
      </c>
    </row>
    <row r="541" spans="1:3" x14ac:dyDescent="0.5">
      <c r="A541" s="1" t="s">
        <v>782</v>
      </c>
      <c r="B541" s="1">
        <v>2</v>
      </c>
      <c r="C541" s="1">
        <v>42055</v>
      </c>
    </row>
    <row r="542" spans="1:3" x14ac:dyDescent="0.5">
      <c r="A542" s="1" t="s">
        <v>346</v>
      </c>
      <c r="B542" s="1">
        <v>1</v>
      </c>
      <c r="C542" s="1">
        <v>2642</v>
      </c>
    </row>
    <row r="543" spans="1:3" x14ac:dyDescent="0.5">
      <c r="A543" s="1" t="s">
        <v>23</v>
      </c>
      <c r="B543" s="1">
        <v>1</v>
      </c>
      <c r="C543" s="1">
        <v>2642</v>
      </c>
    </row>
    <row r="544" spans="1:3" x14ac:dyDescent="0.5">
      <c r="A544" s="1" t="s">
        <v>274</v>
      </c>
      <c r="B544" s="1">
        <v>1</v>
      </c>
      <c r="C544" s="1">
        <v>4654</v>
      </c>
    </row>
    <row r="545" spans="1:3" x14ac:dyDescent="0.5">
      <c r="A545" s="1" t="s">
        <v>9</v>
      </c>
      <c r="B545" s="1">
        <v>1</v>
      </c>
      <c r="C545" s="1">
        <v>4654</v>
      </c>
    </row>
    <row r="546" spans="1:3" x14ac:dyDescent="0.5">
      <c r="A546" s="1" t="s">
        <v>691</v>
      </c>
      <c r="B546" s="1">
        <v>3</v>
      </c>
      <c r="C546" s="1">
        <v>55985</v>
      </c>
    </row>
    <row r="547" spans="1:3" x14ac:dyDescent="0.5">
      <c r="A547" s="1" t="s">
        <v>782</v>
      </c>
      <c r="B547" s="1">
        <v>3</v>
      </c>
      <c r="C547" s="1">
        <v>55985</v>
      </c>
    </row>
    <row r="548" spans="1:3" x14ac:dyDescent="0.5">
      <c r="A548" s="1" t="s">
        <v>622</v>
      </c>
      <c r="B548" s="1">
        <v>2</v>
      </c>
      <c r="C548" s="1">
        <v>61792</v>
      </c>
    </row>
    <row r="549" spans="1:3" x14ac:dyDescent="0.5">
      <c r="A549" s="1" t="s">
        <v>12</v>
      </c>
      <c r="B549" s="1">
        <v>2</v>
      </c>
      <c r="C549" s="1">
        <v>61792</v>
      </c>
    </row>
    <row r="550" spans="1:3" x14ac:dyDescent="0.5">
      <c r="A550" s="1" t="s">
        <v>502</v>
      </c>
      <c r="B550" s="1">
        <v>10</v>
      </c>
      <c r="C550" s="1">
        <v>55</v>
      </c>
    </row>
    <row r="551" spans="1:3" x14ac:dyDescent="0.5">
      <c r="A551" s="1" t="s">
        <v>18</v>
      </c>
      <c r="B551" s="1">
        <v>10</v>
      </c>
      <c r="C551" s="1">
        <v>55</v>
      </c>
    </row>
    <row r="552" spans="1:3" x14ac:dyDescent="0.5">
      <c r="A552" s="1" t="s">
        <v>422</v>
      </c>
      <c r="B552" s="1">
        <v>1</v>
      </c>
      <c r="C552" s="1">
        <v>82046</v>
      </c>
    </row>
    <row r="553" spans="1:3" x14ac:dyDescent="0.5">
      <c r="A553" s="1" t="s">
        <v>782</v>
      </c>
      <c r="B553" s="1">
        <v>1</v>
      </c>
      <c r="C553" s="1">
        <v>82046</v>
      </c>
    </row>
    <row r="554" spans="1:3" x14ac:dyDescent="0.5">
      <c r="A554" s="1" t="s">
        <v>98</v>
      </c>
      <c r="B554" s="1">
        <v>3</v>
      </c>
      <c r="C554" s="1">
        <v>106256</v>
      </c>
    </row>
    <row r="555" spans="1:3" x14ac:dyDescent="0.5">
      <c r="A555" s="1" t="s">
        <v>23</v>
      </c>
      <c r="B555" s="1">
        <v>2</v>
      </c>
      <c r="C555" s="1">
        <v>1885</v>
      </c>
    </row>
    <row r="556" spans="1:3" x14ac:dyDescent="0.5">
      <c r="A556" s="1" t="s">
        <v>782</v>
      </c>
      <c r="B556" s="1">
        <v>1</v>
      </c>
      <c r="C556" s="1">
        <v>104371</v>
      </c>
    </row>
    <row r="557" spans="1:3" x14ac:dyDescent="0.5">
      <c r="A557" s="1" t="s">
        <v>644</v>
      </c>
      <c r="B557" s="1">
        <v>7</v>
      </c>
      <c r="C557" s="1">
        <v>46</v>
      </c>
    </row>
    <row r="558" spans="1:3" x14ac:dyDescent="0.5">
      <c r="A558" s="1" t="s">
        <v>60</v>
      </c>
      <c r="B558" s="1">
        <v>7</v>
      </c>
      <c r="C558" s="1">
        <v>46</v>
      </c>
    </row>
    <row r="559" spans="1:3" x14ac:dyDescent="0.5">
      <c r="A559" s="1" t="s">
        <v>744</v>
      </c>
      <c r="B559" s="1">
        <v>3</v>
      </c>
      <c r="C559" s="1">
        <v>2562</v>
      </c>
    </row>
    <row r="560" spans="1:3" x14ac:dyDescent="0.5">
      <c r="A560" s="1" t="s">
        <v>23</v>
      </c>
      <c r="B560" s="1">
        <v>3</v>
      </c>
      <c r="C560" s="1">
        <v>2562</v>
      </c>
    </row>
    <row r="561" spans="1:3" x14ac:dyDescent="0.5">
      <c r="A561" s="1" t="s">
        <v>355</v>
      </c>
      <c r="B561" s="1">
        <v>9</v>
      </c>
      <c r="C561" s="1">
        <v>297</v>
      </c>
    </row>
    <row r="562" spans="1:3" x14ac:dyDescent="0.5">
      <c r="A562" s="1" t="s">
        <v>356</v>
      </c>
      <c r="B562" s="1">
        <v>9</v>
      </c>
      <c r="C562" s="1">
        <v>297</v>
      </c>
    </row>
    <row r="563" spans="1:3" x14ac:dyDescent="0.5">
      <c r="A563" s="1" t="s">
        <v>416</v>
      </c>
      <c r="B563" s="1">
        <v>8</v>
      </c>
      <c r="C563" s="1">
        <v>48</v>
      </c>
    </row>
    <row r="564" spans="1:3" x14ac:dyDescent="0.5">
      <c r="A564" s="1" t="s">
        <v>417</v>
      </c>
      <c r="B564" s="1">
        <v>8</v>
      </c>
      <c r="C564" s="1">
        <v>48</v>
      </c>
    </row>
    <row r="565" spans="1:3" x14ac:dyDescent="0.5">
      <c r="A565" s="1" t="s">
        <v>154</v>
      </c>
      <c r="B565" s="1">
        <v>9</v>
      </c>
      <c r="C565" s="1">
        <v>70</v>
      </c>
    </row>
    <row r="566" spans="1:3" x14ac:dyDescent="0.5">
      <c r="A566" s="1" t="s">
        <v>55</v>
      </c>
      <c r="B566" s="1">
        <v>9</v>
      </c>
      <c r="C566" s="1">
        <v>70</v>
      </c>
    </row>
    <row r="567" spans="1:3" x14ac:dyDescent="0.5">
      <c r="A567" s="1" t="s">
        <v>237</v>
      </c>
      <c r="B567" s="1">
        <v>10</v>
      </c>
      <c r="C567" s="1">
        <v>84</v>
      </c>
    </row>
    <row r="568" spans="1:3" x14ac:dyDescent="0.5">
      <c r="A568" s="1" t="s">
        <v>238</v>
      </c>
      <c r="B568" s="1">
        <v>10</v>
      </c>
      <c r="C568" s="1">
        <v>84</v>
      </c>
    </row>
    <row r="569" spans="1:3" x14ac:dyDescent="0.5">
      <c r="A569" s="1" t="s">
        <v>48</v>
      </c>
      <c r="B569" s="1">
        <v>1</v>
      </c>
      <c r="C569" s="1">
        <v>8361</v>
      </c>
    </row>
    <row r="570" spans="1:3" x14ac:dyDescent="0.5">
      <c r="A570" s="1" t="s">
        <v>9</v>
      </c>
      <c r="B570" s="1">
        <v>1</v>
      </c>
      <c r="C570" s="1">
        <v>8361</v>
      </c>
    </row>
    <row r="571" spans="1:3" x14ac:dyDescent="0.5">
      <c r="A571" s="1" t="s">
        <v>500</v>
      </c>
      <c r="B571" s="1">
        <v>7</v>
      </c>
      <c r="C571" s="1">
        <v>76</v>
      </c>
    </row>
    <row r="572" spans="1:3" x14ac:dyDescent="0.5">
      <c r="A572" s="1" t="s">
        <v>353</v>
      </c>
      <c r="B572" s="1">
        <v>7</v>
      </c>
      <c r="C572" s="1">
        <v>76</v>
      </c>
    </row>
    <row r="573" spans="1:3" x14ac:dyDescent="0.5">
      <c r="A573" s="1" t="s">
        <v>234</v>
      </c>
      <c r="B573" s="1">
        <v>8</v>
      </c>
      <c r="C573" s="1">
        <v>213</v>
      </c>
    </row>
    <row r="574" spans="1:3" x14ac:dyDescent="0.5">
      <c r="A574" s="1" t="s">
        <v>108</v>
      </c>
      <c r="B574" s="1">
        <v>8</v>
      </c>
      <c r="C574" s="1">
        <v>213</v>
      </c>
    </row>
    <row r="575" spans="1:3" x14ac:dyDescent="0.5">
      <c r="A575" s="1" t="s">
        <v>123</v>
      </c>
      <c r="B575" s="1">
        <v>5</v>
      </c>
      <c r="C575" s="1">
        <v>94</v>
      </c>
    </row>
    <row r="576" spans="1:3" x14ac:dyDescent="0.5">
      <c r="A576" s="1" t="s">
        <v>124</v>
      </c>
      <c r="B576" s="1">
        <v>5</v>
      </c>
      <c r="C576" s="1">
        <v>94</v>
      </c>
    </row>
    <row r="577" spans="1:3" x14ac:dyDescent="0.5">
      <c r="A577" s="1" t="s">
        <v>510</v>
      </c>
      <c r="B577" s="1">
        <v>5</v>
      </c>
      <c r="C577" s="1">
        <v>181</v>
      </c>
    </row>
    <row r="578" spans="1:3" x14ac:dyDescent="0.5">
      <c r="A578" s="1" t="s">
        <v>511</v>
      </c>
      <c r="B578" s="1">
        <v>5</v>
      </c>
      <c r="C578" s="1">
        <v>181</v>
      </c>
    </row>
    <row r="579" spans="1:3" x14ac:dyDescent="0.5">
      <c r="A579" s="1" t="s">
        <v>508</v>
      </c>
      <c r="B579" s="1">
        <v>3</v>
      </c>
      <c r="C579" s="1">
        <v>46567</v>
      </c>
    </row>
    <row r="580" spans="1:3" x14ac:dyDescent="0.5">
      <c r="A580" s="1" t="s">
        <v>12</v>
      </c>
      <c r="B580" s="1">
        <v>3</v>
      </c>
      <c r="C580" s="1">
        <v>46567</v>
      </c>
    </row>
    <row r="581" spans="1:3" x14ac:dyDescent="0.5">
      <c r="A581" s="1" t="s">
        <v>551</v>
      </c>
      <c r="B581" s="1">
        <v>10</v>
      </c>
      <c r="C581" s="1">
        <v>136</v>
      </c>
    </row>
    <row r="582" spans="1:3" x14ac:dyDescent="0.5">
      <c r="A582" s="1" t="s">
        <v>18</v>
      </c>
      <c r="B582" s="1">
        <v>10</v>
      </c>
      <c r="C582" s="1">
        <v>136</v>
      </c>
    </row>
    <row r="583" spans="1:3" x14ac:dyDescent="0.5">
      <c r="A583" s="1" t="s">
        <v>164</v>
      </c>
      <c r="B583" s="1">
        <v>6</v>
      </c>
      <c r="C583" s="1">
        <v>152</v>
      </c>
    </row>
    <row r="584" spans="1:3" x14ac:dyDescent="0.5">
      <c r="A584" s="1" t="s">
        <v>156</v>
      </c>
      <c r="B584" s="1">
        <v>6</v>
      </c>
      <c r="C584" s="1">
        <v>152</v>
      </c>
    </row>
    <row r="585" spans="1:3" x14ac:dyDescent="0.5">
      <c r="A585" s="1" t="s">
        <v>211</v>
      </c>
      <c r="B585" s="1">
        <v>6</v>
      </c>
      <c r="C585" s="1">
        <v>64</v>
      </c>
    </row>
    <row r="586" spans="1:3" x14ac:dyDescent="0.5">
      <c r="A586" s="1" t="s">
        <v>33</v>
      </c>
      <c r="B586" s="1">
        <v>6</v>
      </c>
      <c r="C586" s="1">
        <v>64</v>
      </c>
    </row>
    <row r="587" spans="1:3" x14ac:dyDescent="0.5">
      <c r="A587" s="1" t="s">
        <v>284</v>
      </c>
      <c r="B587" s="1">
        <v>6</v>
      </c>
      <c r="C587" s="1">
        <v>35</v>
      </c>
    </row>
    <row r="588" spans="1:3" x14ac:dyDescent="0.5">
      <c r="A588" s="1" t="s">
        <v>236</v>
      </c>
      <c r="B588" s="1">
        <v>6</v>
      </c>
      <c r="C588" s="1">
        <v>35</v>
      </c>
    </row>
    <row r="589" spans="1:3" x14ac:dyDescent="0.5">
      <c r="A589" s="1" t="s">
        <v>482</v>
      </c>
      <c r="B589" s="1">
        <v>3</v>
      </c>
      <c r="C589" s="1">
        <v>150</v>
      </c>
    </row>
    <row r="590" spans="1:3" x14ac:dyDescent="0.5">
      <c r="A590" s="1" t="s">
        <v>23</v>
      </c>
      <c r="B590" s="1">
        <v>3</v>
      </c>
      <c r="C590" s="1">
        <v>150</v>
      </c>
    </row>
    <row r="591" spans="1:3" x14ac:dyDescent="0.5">
      <c r="A591" s="1" t="s">
        <v>349</v>
      </c>
      <c r="B591" s="1">
        <v>4</v>
      </c>
      <c r="C591" s="1">
        <v>122688</v>
      </c>
    </row>
    <row r="592" spans="1:3" x14ac:dyDescent="0.5">
      <c r="A592" s="1" t="s">
        <v>12</v>
      </c>
      <c r="B592" s="1">
        <v>4</v>
      </c>
      <c r="C592" s="1">
        <v>122688</v>
      </c>
    </row>
    <row r="593" spans="1:3" x14ac:dyDescent="0.5">
      <c r="A593" s="1" t="s">
        <v>141</v>
      </c>
      <c r="B593" s="1">
        <v>6</v>
      </c>
      <c r="C593" s="1">
        <v>885</v>
      </c>
    </row>
    <row r="594" spans="1:3" x14ac:dyDescent="0.5">
      <c r="A594" s="1" t="s">
        <v>16</v>
      </c>
      <c r="B594" s="1">
        <v>6</v>
      </c>
      <c r="C594" s="1">
        <v>885</v>
      </c>
    </row>
    <row r="595" spans="1:3" x14ac:dyDescent="0.5">
      <c r="A595" s="1" t="s">
        <v>425</v>
      </c>
      <c r="B595" s="1">
        <v>4</v>
      </c>
      <c r="C595" s="1">
        <v>4697</v>
      </c>
    </row>
    <row r="596" spans="1:3" x14ac:dyDescent="0.5">
      <c r="A596" s="1" t="s">
        <v>9</v>
      </c>
      <c r="B596" s="1">
        <v>4</v>
      </c>
      <c r="C596" s="1">
        <v>4697</v>
      </c>
    </row>
    <row r="597" spans="1:3" x14ac:dyDescent="0.5">
      <c r="A597" s="1" t="s">
        <v>408</v>
      </c>
      <c r="B597" s="1">
        <v>9</v>
      </c>
      <c r="C597" s="1">
        <v>225</v>
      </c>
    </row>
    <row r="598" spans="1:3" x14ac:dyDescent="0.5">
      <c r="A598" s="1" t="s">
        <v>18</v>
      </c>
      <c r="B598" s="1">
        <v>9</v>
      </c>
      <c r="C598" s="1">
        <v>225</v>
      </c>
    </row>
    <row r="599" spans="1:3" x14ac:dyDescent="0.5">
      <c r="A599" s="1" t="s">
        <v>24</v>
      </c>
      <c r="B599" s="1">
        <v>2</v>
      </c>
      <c r="C599" s="1">
        <v>19920</v>
      </c>
    </row>
    <row r="600" spans="1:3" x14ac:dyDescent="0.5">
      <c r="A600" s="1" t="s">
        <v>9</v>
      </c>
      <c r="B600" s="1">
        <v>2</v>
      </c>
      <c r="C600" s="1">
        <v>19920</v>
      </c>
    </row>
    <row r="601" spans="1:3" x14ac:dyDescent="0.5">
      <c r="A601" s="1" t="s">
        <v>363</v>
      </c>
      <c r="B601" s="1">
        <v>3</v>
      </c>
      <c r="C601" s="1">
        <v>991</v>
      </c>
    </row>
    <row r="602" spans="1:3" x14ac:dyDescent="0.5">
      <c r="A602" s="1" t="s">
        <v>23</v>
      </c>
      <c r="B602" s="1">
        <v>3</v>
      </c>
      <c r="C602" s="1">
        <v>991</v>
      </c>
    </row>
    <row r="603" spans="1:3" x14ac:dyDescent="0.5">
      <c r="A603" s="1" t="s">
        <v>598</v>
      </c>
      <c r="B603" s="1">
        <v>3</v>
      </c>
      <c r="C603" s="1">
        <v>65304</v>
      </c>
    </row>
    <row r="604" spans="1:3" x14ac:dyDescent="0.5">
      <c r="A604" s="1" t="s">
        <v>782</v>
      </c>
      <c r="B604" s="1">
        <v>3</v>
      </c>
      <c r="C604" s="1">
        <v>65304</v>
      </c>
    </row>
    <row r="605" spans="1:3" x14ac:dyDescent="0.5">
      <c r="A605" s="1" t="s">
        <v>471</v>
      </c>
      <c r="B605" s="1">
        <v>3</v>
      </c>
      <c r="C605" s="1">
        <v>38184</v>
      </c>
    </row>
    <row r="606" spans="1:3" x14ac:dyDescent="0.5">
      <c r="A606" s="1" t="s">
        <v>12</v>
      </c>
      <c r="B606" s="1">
        <v>3</v>
      </c>
      <c r="C606" s="1">
        <v>38184</v>
      </c>
    </row>
    <row r="607" spans="1:3" x14ac:dyDescent="0.5">
      <c r="A607" s="1" t="s">
        <v>751</v>
      </c>
      <c r="B607" s="1">
        <v>11</v>
      </c>
      <c r="C607" s="1">
        <v>129</v>
      </c>
    </row>
    <row r="608" spans="1:3" x14ac:dyDescent="0.5">
      <c r="A608" s="1" t="s">
        <v>57</v>
      </c>
      <c r="B608" s="1">
        <v>11</v>
      </c>
      <c r="C608" s="1">
        <v>129</v>
      </c>
    </row>
    <row r="609" spans="1:3" x14ac:dyDescent="0.5">
      <c r="A609" s="1" t="s">
        <v>304</v>
      </c>
      <c r="B609" s="1">
        <v>3</v>
      </c>
      <c r="C609" s="1">
        <v>64132</v>
      </c>
    </row>
    <row r="610" spans="1:3" x14ac:dyDescent="0.5">
      <c r="A610" s="1" t="s">
        <v>782</v>
      </c>
      <c r="B610" s="1">
        <v>3</v>
      </c>
      <c r="C610" s="1">
        <v>64132</v>
      </c>
    </row>
    <row r="611" spans="1:3" x14ac:dyDescent="0.5">
      <c r="A611" s="1" t="s">
        <v>689</v>
      </c>
      <c r="B611" s="1">
        <v>1</v>
      </c>
      <c r="C611" s="1">
        <v>867</v>
      </c>
    </row>
    <row r="612" spans="1:3" x14ac:dyDescent="0.5">
      <c r="A612" s="1" t="s">
        <v>23</v>
      </c>
      <c r="B612" s="1">
        <v>1</v>
      </c>
      <c r="C612" s="1">
        <v>867</v>
      </c>
    </row>
    <row r="613" spans="1:3" x14ac:dyDescent="0.5">
      <c r="A613" s="1" t="s">
        <v>407</v>
      </c>
      <c r="B613" s="1">
        <v>14</v>
      </c>
      <c r="C613" s="1">
        <v>249</v>
      </c>
    </row>
    <row r="614" spans="1:3" x14ac:dyDescent="0.5">
      <c r="A614" s="1" t="s">
        <v>126</v>
      </c>
      <c r="B614" s="1">
        <v>6</v>
      </c>
      <c r="C614" s="1">
        <v>76</v>
      </c>
    </row>
    <row r="615" spans="1:3" x14ac:dyDescent="0.5">
      <c r="A615" s="1" t="s">
        <v>18</v>
      </c>
      <c r="B615" s="1">
        <v>8</v>
      </c>
      <c r="C615" s="1">
        <v>173</v>
      </c>
    </row>
    <row r="616" spans="1:3" x14ac:dyDescent="0.5">
      <c r="A616" s="1" t="s">
        <v>227</v>
      </c>
      <c r="B616" s="1">
        <v>2</v>
      </c>
      <c r="C616" s="1">
        <v>49870</v>
      </c>
    </row>
    <row r="617" spans="1:3" x14ac:dyDescent="0.5">
      <c r="A617" s="1" t="s">
        <v>782</v>
      </c>
      <c r="B617" s="1">
        <v>2</v>
      </c>
      <c r="C617" s="1">
        <v>49870</v>
      </c>
    </row>
    <row r="618" spans="1:3" x14ac:dyDescent="0.5">
      <c r="A618" s="1" t="s">
        <v>159</v>
      </c>
      <c r="B618" s="1">
        <v>1</v>
      </c>
      <c r="C618" s="1">
        <v>75272</v>
      </c>
    </row>
    <row r="619" spans="1:3" x14ac:dyDescent="0.5">
      <c r="A619" s="1" t="s">
        <v>782</v>
      </c>
      <c r="B619" s="1">
        <v>1</v>
      </c>
      <c r="C619" s="1">
        <v>75272</v>
      </c>
    </row>
    <row r="620" spans="1:3" x14ac:dyDescent="0.5">
      <c r="A620" s="1" t="s">
        <v>768</v>
      </c>
      <c r="B620" s="1">
        <v>4</v>
      </c>
      <c r="C620" s="1">
        <v>84012</v>
      </c>
    </row>
    <row r="621" spans="1:3" x14ac:dyDescent="0.5">
      <c r="A621" s="1" t="s">
        <v>12</v>
      </c>
      <c r="B621" s="1">
        <v>4</v>
      </c>
      <c r="C621" s="1">
        <v>84012</v>
      </c>
    </row>
    <row r="622" spans="1:3" x14ac:dyDescent="0.5">
      <c r="A622" s="1" t="s">
        <v>427</v>
      </c>
      <c r="B622" s="1">
        <v>6</v>
      </c>
      <c r="C622" s="1">
        <v>221</v>
      </c>
    </row>
    <row r="623" spans="1:3" x14ac:dyDescent="0.5">
      <c r="A623" s="1" t="s">
        <v>60</v>
      </c>
      <c r="B623" s="1">
        <v>6</v>
      </c>
      <c r="C623" s="1">
        <v>221</v>
      </c>
    </row>
    <row r="624" spans="1:3" x14ac:dyDescent="0.5">
      <c r="A624" s="1" t="s">
        <v>318</v>
      </c>
      <c r="B624" s="1">
        <v>8</v>
      </c>
      <c r="C624" s="1">
        <v>98</v>
      </c>
    </row>
    <row r="625" spans="1:3" x14ac:dyDescent="0.5">
      <c r="A625" s="1" t="s">
        <v>18</v>
      </c>
      <c r="B625" s="1">
        <v>8</v>
      </c>
      <c r="C625" s="1">
        <v>98</v>
      </c>
    </row>
    <row r="626" spans="1:3" x14ac:dyDescent="0.5">
      <c r="A626" s="1" t="s">
        <v>265</v>
      </c>
      <c r="B626" s="1">
        <v>6</v>
      </c>
      <c r="C626" s="1">
        <v>38</v>
      </c>
    </row>
    <row r="627" spans="1:3" x14ac:dyDescent="0.5">
      <c r="A627" s="1" t="s">
        <v>39</v>
      </c>
      <c r="B627" s="1">
        <v>6</v>
      </c>
      <c r="C627" s="1">
        <v>38</v>
      </c>
    </row>
    <row r="628" spans="1:3" x14ac:dyDescent="0.5">
      <c r="A628" s="1" t="s">
        <v>600</v>
      </c>
      <c r="B628" s="1">
        <v>5</v>
      </c>
      <c r="C628" s="1">
        <v>259</v>
      </c>
    </row>
    <row r="629" spans="1:3" x14ac:dyDescent="0.5">
      <c r="A629" s="1" t="s">
        <v>79</v>
      </c>
      <c r="B629" s="1">
        <v>5</v>
      </c>
      <c r="C629" s="1">
        <v>259</v>
      </c>
    </row>
    <row r="630" spans="1:3" x14ac:dyDescent="0.5">
      <c r="A630" s="1" t="s">
        <v>15</v>
      </c>
      <c r="B630" s="1">
        <v>5</v>
      </c>
      <c r="C630" s="1">
        <v>278</v>
      </c>
    </row>
    <row r="631" spans="1:3" x14ac:dyDescent="0.5">
      <c r="A631" s="1" t="s">
        <v>16</v>
      </c>
      <c r="B631" s="1">
        <v>5</v>
      </c>
      <c r="C631" s="1">
        <v>278</v>
      </c>
    </row>
    <row r="632" spans="1:3" x14ac:dyDescent="0.5">
      <c r="A632" s="1" t="s">
        <v>337</v>
      </c>
      <c r="B632" s="1">
        <v>8</v>
      </c>
      <c r="C632" s="1">
        <v>80</v>
      </c>
    </row>
    <row r="633" spans="1:3" x14ac:dyDescent="0.5">
      <c r="A633" s="1" t="s">
        <v>39</v>
      </c>
      <c r="B633" s="1">
        <v>8</v>
      </c>
      <c r="C633" s="1">
        <v>80</v>
      </c>
    </row>
    <row r="634" spans="1:3" x14ac:dyDescent="0.5">
      <c r="A634" s="1" t="s">
        <v>738</v>
      </c>
      <c r="B634" s="1">
        <v>5</v>
      </c>
      <c r="C634" s="1">
        <v>201</v>
      </c>
    </row>
    <row r="635" spans="1:3" x14ac:dyDescent="0.5">
      <c r="A635" s="1" t="s">
        <v>739</v>
      </c>
      <c r="B635" s="1">
        <v>5</v>
      </c>
      <c r="C635" s="1">
        <v>201</v>
      </c>
    </row>
    <row r="636" spans="1:3" x14ac:dyDescent="0.5">
      <c r="A636" s="1" t="s">
        <v>73</v>
      </c>
      <c r="B636" s="1">
        <v>7</v>
      </c>
      <c r="C636" s="1">
        <v>18</v>
      </c>
    </row>
    <row r="637" spans="1:3" x14ac:dyDescent="0.5">
      <c r="A637" s="1" t="s">
        <v>74</v>
      </c>
      <c r="B637" s="1">
        <v>7</v>
      </c>
      <c r="C637" s="1">
        <v>18</v>
      </c>
    </row>
    <row r="638" spans="1:3" x14ac:dyDescent="0.5">
      <c r="A638" s="1" t="s">
        <v>235</v>
      </c>
      <c r="B638" s="1">
        <v>9</v>
      </c>
      <c r="C638" s="1">
        <v>247</v>
      </c>
    </row>
    <row r="639" spans="1:3" x14ac:dyDescent="0.5">
      <c r="A639" s="1" t="s">
        <v>236</v>
      </c>
      <c r="B639" s="1">
        <v>9</v>
      </c>
      <c r="C639" s="1">
        <v>247</v>
      </c>
    </row>
    <row r="640" spans="1:3" x14ac:dyDescent="0.5">
      <c r="A640" s="1" t="s">
        <v>492</v>
      </c>
      <c r="B640" s="1">
        <v>7</v>
      </c>
      <c r="C640" s="1">
        <v>192</v>
      </c>
    </row>
    <row r="641" spans="1:3" x14ac:dyDescent="0.5">
      <c r="A641" s="1" t="s">
        <v>18</v>
      </c>
      <c r="B641" s="1">
        <v>7</v>
      </c>
      <c r="C641" s="1">
        <v>192</v>
      </c>
    </row>
    <row r="642" spans="1:3" x14ac:dyDescent="0.5">
      <c r="A642" s="1" t="s">
        <v>379</v>
      </c>
      <c r="B642" s="1">
        <v>7</v>
      </c>
      <c r="C642" s="1">
        <v>76</v>
      </c>
    </row>
    <row r="643" spans="1:3" x14ac:dyDescent="0.5">
      <c r="A643" s="1" t="s">
        <v>380</v>
      </c>
      <c r="B643" s="1">
        <v>7</v>
      </c>
      <c r="C643" s="1">
        <v>76</v>
      </c>
    </row>
    <row r="644" spans="1:3" x14ac:dyDescent="0.5">
      <c r="A644" s="1" t="s">
        <v>258</v>
      </c>
      <c r="B644" s="1">
        <v>11</v>
      </c>
      <c r="C644" s="1">
        <v>31</v>
      </c>
    </row>
    <row r="645" spans="1:3" x14ac:dyDescent="0.5">
      <c r="A645" s="1" t="s">
        <v>18</v>
      </c>
      <c r="B645" s="1">
        <v>11</v>
      </c>
      <c r="C645" s="1">
        <v>31</v>
      </c>
    </row>
    <row r="646" spans="1:3" x14ac:dyDescent="0.5">
      <c r="A646" s="1" t="s">
        <v>741</v>
      </c>
      <c r="B646" s="1">
        <v>8</v>
      </c>
      <c r="C646" s="1">
        <v>124</v>
      </c>
    </row>
    <row r="647" spans="1:3" x14ac:dyDescent="0.5">
      <c r="A647" s="1" t="s">
        <v>18</v>
      </c>
      <c r="B647" s="1">
        <v>8</v>
      </c>
      <c r="C647" s="1">
        <v>124</v>
      </c>
    </row>
    <row r="648" spans="1:3" x14ac:dyDescent="0.5">
      <c r="A648" s="1" t="s">
        <v>257</v>
      </c>
      <c r="B648" s="1">
        <v>10</v>
      </c>
      <c r="C648" s="1">
        <v>60</v>
      </c>
    </row>
    <row r="649" spans="1:3" x14ac:dyDescent="0.5">
      <c r="A649" s="1" t="s">
        <v>18</v>
      </c>
      <c r="B649" s="1">
        <v>10</v>
      </c>
      <c r="C649" s="1">
        <v>60</v>
      </c>
    </row>
    <row r="650" spans="1:3" x14ac:dyDescent="0.5">
      <c r="A650" s="1" t="s">
        <v>246</v>
      </c>
      <c r="B650" s="1">
        <v>6</v>
      </c>
      <c r="C650" s="1">
        <v>45</v>
      </c>
    </row>
    <row r="651" spans="1:3" x14ac:dyDescent="0.5">
      <c r="A651" s="1" t="s">
        <v>63</v>
      </c>
      <c r="B651" s="1">
        <v>6</v>
      </c>
      <c r="C651" s="1">
        <v>45</v>
      </c>
    </row>
    <row r="652" spans="1:3" x14ac:dyDescent="0.5">
      <c r="A652" s="1" t="s">
        <v>316</v>
      </c>
      <c r="B652" s="1">
        <v>6</v>
      </c>
      <c r="C652" s="1">
        <v>83</v>
      </c>
    </row>
    <row r="653" spans="1:3" x14ac:dyDescent="0.5">
      <c r="A653" s="1" t="s">
        <v>317</v>
      </c>
      <c r="B653" s="1">
        <v>6</v>
      </c>
      <c r="C653" s="1">
        <v>83</v>
      </c>
    </row>
    <row r="654" spans="1:3" x14ac:dyDescent="0.5">
      <c r="A654" s="1" t="s">
        <v>755</v>
      </c>
      <c r="B654" s="1">
        <v>4</v>
      </c>
      <c r="C654" s="1">
        <v>85215</v>
      </c>
    </row>
    <row r="655" spans="1:3" x14ac:dyDescent="0.5">
      <c r="A655" s="1" t="s">
        <v>782</v>
      </c>
      <c r="B655" s="1">
        <v>4</v>
      </c>
      <c r="C655" s="1">
        <v>85215</v>
      </c>
    </row>
    <row r="656" spans="1:3" x14ac:dyDescent="0.5">
      <c r="A656" s="1" t="s">
        <v>736</v>
      </c>
      <c r="B656" s="1">
        <v>3</v>
      </c>
      <c r="C656" s="1">
        <v>8797</v>
      </c>
    </row>
    <row r="657" spans="1:3" x14ac:dyDescent="0.5">
      <c r="A657" s="1" t="s">
        <v>9</v>
      </c>
      <c r="B657" s="1">
        <v>3</v>
      </c>
      <c r="C657" s="1">
        <v>8797</v>
      </c>
    </row>
    <row r="658" spans="1:3" x14ac:dyDescent="0.5">
      <c r="A658" s="1" t="s">
        <v>601</v>
      </c>
      <c r="B658" s="1">
        <v>6</v>
      </c>
      <c r="C658" s="1">
        <v>83</v>
      </c>
    </row>
    <row r="659" spans="1:3" x14ac:dyDescent="0.5">
      <c r="A659" s="1" t="s">
        <v>33</v>
      </c>
      <c r="B659" s="1">
        <v>6</v>
      </c>
      <c r="C659" s="1">
        <v>83</v>
      </c>
    </row>
    <row r="660" spans="1:3" x14ac:dyDescent="0.5">
      <c r="A660" s="1" t="s">
        <v>252</v>
      </c>
      <c r="B660" s="1">
        <v>5</v>
      </c>
      <c r="C660" s="1">
        <v>56</v>
      </c>
    </row>
    <row r="661" spans="1:3" x14ac:dyDescent="0.5">
      <c r="A661" s="1" t="s">
        <v>39</v>
      </c>
      <c r="B661" s="1">
        <v>5</v>
      </c>
      <c r="C661" s="1">
        <v>56</v>
      </c>
    </row>
    <row r="662" spans="1:3" x14ac:dyDescent="0.5">
      <c r="A662" s="1" t="s">
        <v>717</v>
      </c>
      <c r="B662" s="1">
        <v>5</v>
      </c>
      <c r="C662" s="1">
        <v>107</v>
      </c>
    </row>
    <row r="663" spans="1:3" x14ac:dyDescent="0.5">
      <c r="A663" s="1" t="s">
        <v>55</v>
      </c>
      <c r="B663" s="1">
        <v>5</v>
      </c>
      <c r="C663" s="1">
        <v>107</v>
      </c>
    </row>
    <row r="664" spans="1:3" x14ac:dyDescent="0.5">
      <c r="A664" s="1" t="s">
        <v>340</v>
      </c>
      <c r="B664" s="1">
        <v>10</v>
      </c>
      <c r="C664" s="1">
        <v>91</v>
      </c>
    </row>
    <row r="665" spans="1:3" x14ac:dyDescent="0.5">
      <c r="A665" s="1" t="s">
        <v>166</v>
      </c>
      <c r="B665" s="1">
        <v>10</v>
      </c>
      <c r="C665" s="1">
        <v>91</v>
      </c>
    </row>
    <row r="666" spans="1:3" x14ac:dyDescent="0.5">
      <c r="A666" s="1" t="s">
        <v>725</v>
      </c>
      <c r="B666" s="1">
        <v>12</v>
      </c>
      <c r="C666" s="1">
        <v>72</v>
      </c>
    </row>
    <row r="667" spans="1:3" x14ac:dyDescent="0.5">
      <c r="A667" s="1" t="s">
        <v>18</v>
      </c>
      <c r="B667" s="1">
        <v>12</v>
      </c>
      <c r="C667" s="1">
        <v>72</v>
      </c>
    </row>
    <row r="668" spans="1:3" x14ac:dyDescent="0.5">
      <c r="A668" s="1" t="s">
        <v>757</v>
      </c>
      <c r="B668" s="1">
        <v>6</v>
      </c>
      <c r="C668" s="1">
        <v>151</v>
      </c>
    </row>
    <row r="669" spans="1:3" x14ac:dyDescent="0.5">
      <c r="A669" s="1" t="s">
        <v>758</v>
      </c>
      <c r="B669" s="1">
        <v>6</v>
      </c>
      <c r="C669" s="1">
        <v>151</v>
      </c>
    </row>
    <row r="670" spans="1:3" x14ac:dyDescent="0.5">
      <c r="A670" s="1" t="s">
        <v>639</v>
      </c>
      <c r="B670" s="1">
        <v>3</v>
      </c>
      <c r="C670" s="1">
        <v>388</v>
      </c>
    </row>
    <row r="671" spans="1:3" x14ac:dyDescent="0.5">
      <c r="A671" s="1" t="s">
        <v>23</v>
      </c>
      <c r="B671" s="1">
        <v>3</v>
      </c>
      <c r="C671" s="1">
        <v>388</v>
      </c>
    </row>
    <row r="672" spans="1:3" x14ac:dyDescent="0.5">
      <c r="A672" s="1" t="s">
        <v>543</v>
      </c>
      <c r="B672" s="1">
        <v>2</v>
      </c>
      <c r="C672" s="1">
        <v>796</v>
      </c>
    </row>
    <row r="673" spans="1:3" x14ac:dyDescent="0.5">
      <c r="A673" s="1" t="s">
        <v>23</v>
      </c>
      <c r="B673" s="1">
        <v>2</v>
      </c>
      <c r="C673" s="1">
        <v>796</v>
      </c>
    </row>
    <row r="674" spans="1:3" x14ac:dyDescent="0.5">
      <c r="A674" s="1" t="s">
        <v>723</v>
      </c>
      <c r="B674" s="1">
        <v>10</v>
      </c>
      <c r="C674" s="1">
        <v>29</v>
      </c>
    </row>
    <row r="675" spans="1:3" x14ac:dyDescent="0.5">
      <c r="A675" s="1" t="s">
        <v>18</v>
      </c>
      <c r="B675" s="1">
        <v>10</v>
      </c>
      <c r="C675" s="1">
        <v>29</v>
      </c>
    </row>
    <row r="676" spans="1:3" x14ac:dyDescent="0.5">
      <c r="A676" s="1" t="s">
        <v>266</v>
      </c>
      <c r="B676" s="1">
        <v>8</v>
      </c>
      <c r="C676" s="1">
        <v>72</v>
      </c>
    </row>
    <row r="677" spans="1:3" x14ac:dyDescent="0.5">
      <c r="A677" s="1" t="s">
        <v>18</v>
      </c>
      <c r="B677" s="1">
        <v>8</v>
      </c>
      <c r="C677" s="1">
        <v>72</v>
      </c>
    </row>
    <row r="678" spans="1:3" x14ac:dyDescent="0.5">
      <c r="A678" s="1" t="s">
        <v>759</v>
      </c>
      <c r="B678" s="1">
        <v>7</v>
      </c>
      <c r="C678" s="1">
        <v>33474</v>
      </c>
    </row>
    <row r="679" spans="1:3" x14ac:dyDescent="0.5">
      <c r="A679" s="1" t="s">
        <v>609</v>
      </c>
      <c r="B679" s="1">
        <v>7</v>
      </c>
      <c r="C679" s="1">
        <v>33474</v>
      </c>
    </row>
    <row r="680" spans="1:3" x14ac:dyDescent="0.5">
      <c r="A680" s="1" t="s">
        <v>189</v>
      </c>
      <c r="B680" s="1">
        <v>6</v>
      </c>
      <c r="C680" s="1">
        <v>98</v>
      </c>
    </row>
    <row r="681" spans="1:3" x14ac:dyDescent="0.5">
      <c r="A681" s="1" t="s">
        <v>18</v>
      </c>
      <c r="B681" s="1">
        <v>6</v>
      </c>
      <c r="C681" s="1">
        <v>98</v>
      </c>
    </row>
    <row r="682" spans="1:3" x14ac:dyDescent="0.5">
      <c r="A682" s="1" t="s">
        <v>100</v>
      </c>
      <c r="B682" s="1">
        <v>3</v>
      </c>
      <c r="C682" s="1">
        <v>74755</v>
      </c>
    </row>
    <row r="683" spans="1:3" x14ac:dyDescent="0.5">
      <c r="A683" s="1" t="s">
        <v>12</v>
      </c>
      <c r="B683" s="1">
        <v>3</v>
      </c>
      <c r="C683" s="1">
        <v>74755</v>
      </c>
    </row>
    <row r="684" spans="1:3" x14ac:dyDescent="0.5">
      <c r="A684" s="1" t="s">
        <v>395</v>
      </c>
      <c r="B684" s="1">
        <v>8</v>
      </c>
      <c r="C684" s="1">
        <v>88</v>
      </c>
    </row>
    <row r="685" spans="1:3" x14ac:dyDescent="0.5">
      <c r="A685" s="1" t="s">
        <v>353</v>
      </c>
      <c r="B685" s="1">
        <v>8</v>
      </c>
      <c r="C685" s="1">
        <v>88</v>
      </c>
    </row>
    <row r="686" spans="1:3" x14ac:dyDescent="0.5">
      <c r="A686" s="1" t="s">
        <v>420</v>
      </c>
      <c r="B686" s="1">
        <v>11</v>
      </c>
      <c r="C686" s="1">
        <v>225</v>
      </c>
    </row>
    <row r="687" spans="1:3" x14ac:dyDescent="0.5">
      <c r="A687" s="1" t="s">
        <v>18</v>
      </c>
      <c r="B687" s="1">
        <v>11</v>
      </c>
      <c r="C687" s="1">
        <v>225</v>
      </c>
    </row>
    <row r="688" spans="1:3" x14ac:dyDescent="0.5">
      <c r="A688" s="1" t="s">
        <v>243</v>
      </c>
      <c r="B688" s="1">
        <v>3</v>
      </c>
      <c r="C688" s="1">
        <v>9065</v>
      </c>
    </row>
    <row r="689" spans="1:3" x14ac:dyDescent="0.5">
      <c r="A689" s="1" t="s">
        <v>9</v>
      </c>
      <c r="B689" s="1">
        <v>3</v>
      </c>
      <c r="C689" s="1">
        <v>9065</v>
      </c>
    </row>
    <row r="690" spans="1:3" x14ac:dyDescent="0.5">
      <c r="A690" s="1" t="s">
        <v>215</v>
      </c>
      <c r="B690" s="1">
        <v>20</v>
      </c>
      <c r="C690" s="1">
        <v>181</v>
      </c>
    </row>
    <row r="691" spans="1:3" x14ac:dyDescent="0.5">
      <c r="A691" s="1" t="s">
        <v>18</v>
      </c>
      <c r="B691" s="1">
        <v>9</v>
      </c>
      <c r="C691" s="1">
        <v>173</v>
      </c>
    </row>
    <row r="692" spans="1:3" x14ac:dyDescent="0.5">
      <c r="A692" s="1" t="s">
        <v>72</v>
      </c>
      <c r="B692" s="1">
        <v>11</v>
      </c>
      <c r="C692" s="1">
        <v>8</v>
      </c>
    </row>
    <row r="693" spans="1:3" x14ac:dyDescent="0.5">
      <c r="A693" s="1" t="s">
        <v>160</v>
      </c>
      <c r="B693" s="1">
        <v>8</v>
      </c>
      <c r="C693" s="1">
        <v>3957</v>
      </c>
    </row>
    <row r="694" spans="1:3" x14ac:dyDescent="0.5">
      <c r="A694" s="1" t="s">
        <v>23</v>
      </c>
      <c r="B694" s="1">
        <v>8</v>
      </c>
      <c r="C694" s="1">
        <v>3957</v>
      </c>
    </row>
    <row r="695" spans="1:3" x14ac:dyDescent="0.5">
      <c r="A695" s="1" t="s">
        <v>148</v>
      </c>
      <c r="B695" s="1">
        <v>4</v>
      </c>
      <c r="C695" s="1">
        <v>58767</v>
      </c>
    </row>
    <row r="696" spans="1:3" x14ac:dyDescent="0.5">
      <c r="A696" s="1" t="s">
        <v>12</v>
      </c>
      <c r="B696" s="1">
        <v>4</v>
      </c>
      <c r="C696" s="1">
        <v>58767</v>
      </c>
    </row>
    <row r="697" spans="1:3" x14ac:dyDescent="0.5">
      <c r="A697" s="1" t="s">
        <v>66</v>
      </c>
      <c r="B697" s="1">
        <v>2</v>
      </c>
      <c r="C697" s="1">
        <v>41028</v>
      </c>
    </row>
    <row r="698" spans="1:3" x14ac:dyDescent="0.5">
      <c r="A698" s="1" t="s">
        <v>12</v>
      </c>
      <c r="B698" s="1">
        <v>2</v>
      </c>
      <c r="C698" s="1">
        <v>41028</v>
      </c>
    </row>
    <row r="699" spans="1:3" x14ac:dyDescent="0.5">
      <c r="A699" s="1" t="s">
        <v>36</v>
      </c>
      <c r="B699" s="1">
        <v>9</v>
      </c>
      <c r="C699" s="1">
        <v>288</v>
      </c>
    </row>
    <row r="700" spans="1:3" x14ac:dyDescent="0.5">
      <c r="A700" s="1" t="s">
        <v>37</v>
      </c>
      <c r="B700" s="1">
        <v>9</v>
      </c>
      <c r="C700" s="1">
        <v>288</v>
      </c>
    </row>
    <row r="701" spans="1:3" x14ac:dyDescent="0.5">
      <c r="A701" s="1" t="s">
        <v>364</v>
      </c>
      <c r="B701" s="1">
        <v>4</v>
      </c>
      <c r="C701" s="1">
        <v>15565</v>
      </c>
    </row>
    <row r="702" spans="1:3" x14ac:dyDescent="0.5">
      <c r="A702" s="1" t="s">
        <v>9</v>
      </c>
      <c r="B702" s="1">
        <v>4</v>
      </c>
      <c r="C702" s="1">
        <v>15565</v>
      </c>
    </row>
    <row r="703" spans="1:3" x14ac:dyDescent="0.5">
      <c r="A703" s="1" t="s">
        <v>92</v>
      </c>
      <c r="B703" s="1">
        <v>7</v>
      </c>
      <c r="C703" s="1">
        <v>92</v>
      </c>
    </row>
    <row r="704" spans="1:3" x14ac:dyDescent="0.5">
      <c r="A704" s="1" t="s">
        <v>39</v>
      </c>
      <c r="B704" s="1">
        <v>7</v>
      </c>
      <c r="C704" s="1">
        <v>92</v>
      </c>
    </row>
    <row r="705" spans="1:3" x14ac:dyDescent="0.5">
      <c r="A705" s="1" t="s">
        <v>650</v>
      </c>
      <c r="B705" s="1">
        <v>11</v>
      </c>
      <c r="C705" s="1">
        <v>48</v>
      </c>
    </row>
    <row r="706" spans="1:3" x14ac:dyDescent="0.5">
      <c r="A706" s="1" t="s">
        <v>39</v>
      </c>
      <c r="B706" s="1">
        <v>11</v>
      </c>
      <c r="C706" s="1">
        <v>48</v>
      </c>
    </row>
    <row r="707" spans="1:3" x14ac:dyDescent="0.5">
      <c r="A707" s="1" t="s">
        <v>429</v>
      </c>
      <c r="B707" s="1">
        <v>1</v>
      </c>
      <c r="C707" s="1">
        <v>232</v>
      </c>
    </row>
    <row r="708" spans="1:3" x14ac:dyDescent="0.5">
      <c r="A708" s="1" t="s">
        <v>23</v>
      </c>
      <c r="B708" s="1">
        <v>1</v>
      </c>
      <c r="C708" s="1">
        <v>232</v>
      </c>
    </row>
    <row r="709" spans="1:3" x14ac:dyDescent="0.5">
      <c r="A709" s="1" t="s">
        <v>616</v>
      </c>
      <c r="B709" s="1">
        <v>3</v>
      </c>
      <c r="C709" s="1">
        <v>1322</v>
      </c>
    </row>
    <row r="710" spans="1:3" x14ac:dyDescent="0.5">
      <c r="A710" s="1" t="s">
        <v>23</v>
      </c>
      <c r="B710" s="1">
        <v>3</v>
      </c>
      <c r="C710" s="1">
        <v>1322</v>
      </c>
    </row>
    <row r="711" spans="1:3" x14ac:dyDescent="0.5">
      <c r="A711" s="1" t="s">
        <v>585</v>
      </c>
      <c r="B711" s="1">
        <v>3</v>
      </c>
      <c r="C711" s="1">
        <v>87103</v>
      </c>
    </row>
    <row r="712" spans="1:3" x14ac:dyDescent="0.5">
      <c r="A712" s="1" t="s">
        <v>782</v>
      </c>
      <c r="B712" s="1">
        <v>3</v>
      </c>
      <c r="C712" s="1">
        <v>87103</v>
      </c>
    </row>
    <row r="713" spans="1:3" x14ac:dyDescent="0.5">
      <c r="A713" s="1" t="s">
        <v>522</v>
      </c>
      <c r="B713" s="1">
        <v>8</v>
      </c>
      <c r="C713" s="1">
        <v>173</v>
      </c>
    </row>
    <row r="714" spans="1:3" x14ac:dyDescent="0.5">
      <c r="A714" s="1" t="s">
        <v>39</v>
      </c>
      <c r="B714" s="1">
        <v>8</v>
      </c>
      <c r="C714" s="1">
        <v>173</v>
      </c>
    </row>
    <row r="715" spans="1:3" x14ac:dyDescent="0.5">
      <c r="A715" s="1" t="s">
        <v>413</v>
      </c>
      <c r="B715" s="1">
        <v>5</v>
      </c>
      <c r="C715" s="1">
        <v>96</v>
      </c>
    </row>
    <row r="716" spans="1:3" x14ac:dyDescent="0.5">
      <c r="A716" s="1" t="s">
        <v>53</v>
      </c>
      <c r="B716" s="1">
        <v>5</v>
      </c>
      <c r="C716" s="1">
        <v>96</v>
      </c>
    </row>
    <row r="717" spans="1:3" x14ac:dyDescent="0.5">
      <c r="A717" s="1" t="s">
        <v>181</v>
      </c>
      <c r="B717" s="1">
        <v>7</v>
      </c>
      <c r="C717" s="1">
        <v>54</v>
      </c>
    </row>
    <row r="718" spans="1:3" x14ac:dyDescent="0.5">
      <c r="A718" s="1" t="s">
        <v>18</v>
      </c>
      <c r="B718" s="1">
        <v>7</v>
      </c>
      <c r="C718" s="1">
        <v>54</v>
      </c>
    </row>
    <row r="719" spans="1:3" x14ac:dyDescent="0.5">
      <c r="A719" s="1" t="s">
        <v>454</v>
      </c>
      <c r="B719" s="1">
        <v>16</v>
      </c>
      <c r="C719" s="1">
        <v>236</v>
      </c>
    </row>
    <row r="720" spans="1:3" x14ac:dyDescent="0.5">
      <c r="A720" s="1" t="s">
        <v>47</v>
      </c>
      <c r="B720" s="1">
        <v>9</v>
      </c>
      <c r="C720" s="1">
        <v>37</v>
      </c>
    </row>
    <row r="721" spans="1:3" x14ac:dyDescent="0.5">
      <c r="A721" s="1" t="s">
        <v>33</v>
      </c>
      <c r="B721" s="1">
        <v>7</v>
      </c>
      <c r="C721" s="1">
        <v>199</v>
      </c>
    </row>
    <row r="722" spans="1:3" x14ac:dyDescent="0.5">
      <c r="A722" s="1" t="s">
        <v>706</v>
      </c>
      <c r="B722" s="1">
        <v>8</v>
      </c>
      <c r="C722" s="1">
        <v>63</v>
      </c>
    </row>
    <row r="723" spans="1:3" x14ac:dyDescent="0.5">
      <c r="A723" s="1" t="s">
        <v>236</v>
      </c>
      <c r="B723" s="1">
        <v>8</v>
      </c>
      <c r="C723" s="1">
        <v>63</v>
      </c>
    </row>
    <row r="724" spans="1:3" x14ac:dyDescent="0.5">
      <c r="A724" s="1" t="s">
        <v>761</v>
      </c>
      <c r="B724" s="1">
        <v>9</v>
      </c>
      <c r="C724" s="1">
        <v>75</v>
      </c>
    </row>
    <row r="725" spans="1:3" x14ac:dyDescent="0.5">
      <c r="A725" s="1" t="s">
        <v>719</v>
      </c>
      <c r="B725" s="1">
        <v>9</v>
      </c>
      <c r="C725" s="1">
        <v>75</v>
      </c>
    </row>
    <row r="726" spans="1:3" x14ac:dyDescent="0.5">
      <c r="A726" s="1" t="s">
        <v>676</v>
      </c>
      <c r="B726" s="1">
        <v>4</v>
      </c>
      <c r="C726" s="1">
        <v>44110</v>
      </c>
    </row>
    <row r="727" spans="1:3" x14ac:dyDescent="0.5">
      <c r="A727" s="1" t="s">
        <v>12</v>
      </c>
      <c r="B727" s="1">
        <v>4</v>
      </c>
      <c r="C727" s="1">
        <v>44110</v>
      </c>
    </row>
    <row r="728" spans="1:3" x14ac:dyDescent="0.5">
      <c r="A728" s="1" t="s">
        <v>414</v>
      </c>
      <c r="B728" s="1">
        <v>6</v>
      </c>
      <c r="C728" s="1">
        <v>91</v>
      </c>
    </row>
    <row r="729" spans="1:3" x14ac:dyDescent="0.5">
      <c r="A729" s="1" t="s">
        <v>299</v>
      </c>
      <c r="B729" s="1">
        <v>6</v>
      </c>
      <c r="C729" s="1">
        <v>91</v>
      </c>
    </row>
    <row r="730" spans="1:3" x14ac:dyDescent="0.5">
      <c r="A730" s="1" t="s">
        <v>620</v>
      </c>
      <c r="B730" s="1">
        <v>7</v>
      </c>
      <c r="C730" s="1">
        <v>272</v>
      </c>
    </row>
    <row r="731" spans="1:3" x14ac:dyDescent="0.5">
      <c r="A731" s="1" t="s">
        <v>18</v>
      </c>
      <c r="B731" s="1">
        <v>7</v>
      </c>
      <c r="C731" s="1">
        <v>272</v>
      </c>
    </row>
    <row r="732" spans="1:3" x14ac:dyDescent="0.5">
      <c r="A732" s="1" t="s">
        <v>401</v>
      </c>
      <c r="B732" s="1">
        <v>2</v>
      </c>
      <c r="C732" s="1">
        <v>101708</v>
      </c>
    </row>
    <row r="733" spans="1:3" x14ac:dyDescent="0.5">
      <c r="A733" s="1" t="s">
        <v>782</v>
      </c>
      <c r="B733" s="1">
        <v>2</v>
      </c>
      <c r="C733" s="1">
        <v>101708</v>
      </c>
    </row>
    <row r="734" spans="1:3" x14ac:dyDescent="0.5">
      <c r="A734" s="1" t="s">
        <v>662</v>
      </c>
      <c r="B734" s="1">
        <v>8</v>
      </c>
      <c r="C734" s="1">
        <v>49</v>
      </c>
    </row>
    <row r="735" spans="1:3" x14ac:dyDescent="0.5">
      <c r="A735" s="1" t="s">
        <v>60</v>
      </c>
      <c r="B735" s="1">
        <v>8</v>
      </c>
      <c r="C735" s="1">
        <v>49</v>
      </c>
    </row>
    <row r="736" spans="1:3" x14ac:dyDescent="0.5">
      <c r="A736" s="1" t="s">
        <v>770</v>
      </c>
      <c r="B736" s="1">
        <v>6</v>
      </c>
      <c r="C736" s="1">
        <v>100</v>
      </c>
    </row>
    <row r="737" spans="1:3" x14ac:dyDescent="0.5">
      <c r="A737" s="1" t="s">
        <v>188</v>
      </c>
      <c r="B737" s="1">
        <v>6</v>
      </c>
      <c r="C737" s="1">
        <v>100</v>
      </c>
    </row>
    <row r="738" spans="1:3" x14ac:dyDescent="0.5">
      <c r="A738" s="1" t="s">
        <v>481</v>
      </c>
      <c r="B738" s="1">
        <v>2</v>
      </c>
      <c r="C738" s="1">
        <v>38067</v>
      </c>
    </row>
    <row r="739" spans="1:3" x14ac:dyDescent="0.5">
      <c r="A739" s="1" t="s">
        <v>782</v>
      </c>
      <c r="B739" s="1">
        <v>2</v>
      </c>
      <c r="C739" s="1">
        <v>38067</v>
      </c>
    </row>
    <row r="740" spans="1:3" x14ac:dyDescent="0.5">
      <c r="A740" s="1" t="s">
        <v>499</v>
      </c>
      <c r="B740" s="1">
        <v>6</v>
      </c>
      <c r="C740" s="1">
        <v>99</v>
      </c>
    </row>
    <row r="741" spans="1:3" x14ac:dyDescent="0.5">
      <c r="A741" s="1" t="s">
        <v>103</v>
      </c>
      <c r="B741" s="1">
        <v>6</v>
      </c>
      <c r="C741" s="1">
        <v>99</v>
      </c>
    </row>
    <row r="742" spans="1:3" x14ac:dyDescent="0.5">
      <c r="A742" s="1" t="s">
        <v>81</v>
      </c>
      <c r="B742" s="1">
        <v>12</v>
      </c>
      <c r="C742" s="1">
        <v>111</v>
      </c>
    </row>
    <row r="743" spans="1:3" x14ac:dyDescent="0.5">
      <c r="A743" s="1" t="s">
        <v>18</v>
      </c>
      <c r="B743" s="1">
        <v>12</v>
      </c>
      <c r="C743" s="1">
        <v>111</v>
      </c>
    </row>
    <row r="744" spans="1:3" x14ac:dyDescent="0.5">
      <c r="A744" s="1" t="s">
        <v>99</v>
      </c>
      <c r="B744" s="1">
        <v>2</v>
      </c>
      <c r="C744" s="1">
        <v>619</v>
      </c>
    </row>
    <row r="745" spans="1:3" x14ac:dyDescent="0.5">
      <c r="A745" s="1" t="s">
        <v>23</v>
      </c>
      <c r="B745" s="1">
        <v>2</v>
      </c>
      <c r="C745" s="1">
        <v>619</v>
      </c>
    </row>
    <row r="746" spans="1:3" x14ac:dyDescent="0.5">
      <c r="A746" s="1" t="s">
        <v>626</v>
      </c>
      <c r="B746" s="1">
        <v>7</v>
      </c>
      <c r="C746" s="1">
        <v>122</v>
      </c>
    </row>
    <row r="747" spans="1:3" x14ac:dyDescent="0.5">
      <c r="A747" s="1" t="s">
        <v>33</v>
      </c>
      <c r="B747" s="1">
        <v>7</v>
      </c>
      <c r="C747" s="1">
        <v>122</v>
      </c>
    </row>
    <row r="748" spans="1:3" x14ac:dyDescent="0.5">
      <c r="A748" s="1" t="s">
        <v>392</v>
      </c>
      <c r="B748" s="1">
        <v>6</v>
      </c>
      <c r="C748" s="1">
        <v>73</v>
      </c>
    </row>
    <row r="749" spans="1:3" x14ac:dyDescent="0.5">
      <c r="A749" s="1" t="s">
        <v>76</v>
      </c>
      <c r="B749" s="1">
        <v>6</v>
      </c>
      <c r="C749" s="1">
        <v>73</v>
      </c>
    </row>
    <row r="750" spans="1:3" x14ac:dyDescent="0.5">
      <c r="A750" s="1" t="s">
        <v>419</v>
      </c>
      <c r="B750" s="1">
        <v>10</v>
      </c>
      <c r="C750" s="1">
        <v>193</v>
      </c>
    </row>
    <row r="751" spans="1:3" x14ac:dyDescent="0.5">
      <c r="A751" s="1" t="s">
        <v>18</v>
      </c>
      <c r="B751" s="1">
        <v>10</v>
      </c>
      <c r="C751" s="1">
        <v>193</v>
      </c>
    </row>
    <row r="752" spans="1:3" x14ac:dyDescent="0.5">
      <c r="A752" s="1" t="s">
        <v>107</v>
      </c>
      <c r="B752" s="1">
        <v>8</v>
      </c>
      <c r="C752" s="1">
        <v>155</v>
      </c>
    </row>
    <row r="753" spans="1:3" x14ac:dyDescent="0.5">
      <c r="A753" s="1" t="s">
        <v>108</v>
      </c>
      <c r="B753" s="1">
        <v>8</v>
      </c>
      <c r="C753" s="1">
        <v>155</v>
      </c>
    </row>
    <row r="754" spans="1:3" x14ac:dyDescent="0.5">
      <c r="A754" s="1" t="s">
        <v>684</v>
      </c>
      <c r="B754" s="1">
        <v>6</v>
      </c>
      <c r="C754" s="1">
        <v>182</v>
      </c>
    </row>
    <row r="755" spans="1:3" x14ac:dyDescent="0.5">
      <c r="A755" s="1" t="s">
        <v>264</v>
      </c>
      <c r="B755" s="1">
        <v>6</v>
      </c>
      <c r="C755" s="1">
        <v>182</v>
      </c>
    </row>
    <row r="756" spans="1:3" x14ac:dyDescent="0.5">
      <c r="A756" s="1" t="s">
        <v>711</v>
      </c>
      <c r="B756" s="1">
        <v>13</v>
      </c>
      <c r="C756" s="1">
        <v>45</v>
      </c>
    </row>
    <row r="757" spans="1:3" x14ac:dyDescent="0.5">
      <c r="A757" s="1" t="s">
        <v>18</v>
      </c>
      <c r="B757" s="1">
        <v>13</v>
      </c>
      <c r="C757" s="1">
        <v>45</v>
      </c>
    </row>
    <row r="758" spans="1:3" x14ac:dyDescent="0.5">
      <c r="A758" s="1" t="s">
        <v>455</v>
      </c>
      <c r="B758" s="1">
        <v>10</v>
      </c>
      <c r="C758" s="1">
        <v>8</v>
      </c>
    </row>
    <row r="759" spans="1:3" x14ac:dyDescent="0.5">
      <c r="A759" s="1" t="s">
        <v>143</v>
      </c>
      <c r="B759" s="1">
        <v>10</v>
      </c>
      <c r="C759" s="1">
        <v>8</v>
      </c>
    </row>
    <row r="760" spans="1:3" x14ac:dyDescent="0.5">
      <c r="A760" s="1" t="s">
        <v>554</v>
      </c>
      <c r="B760" s="1">
        <v>2</v>
      </c>
      <c r="C760" s="1">
        <v>235</v>
      </c>
    </row>
    <row r="761" spans="1:3" x14ac:dyDescent="0.5">
      <c r="A761" s="1" t="s">
        <v>23</v>
      </c>
      <c r="B761" s="1">
        <v>2</v>
      </c>
      <c r="C761" s="1">
        <v>235</v>
      </c>
    </row>
    <row r="762" spans="1:3" x14ac:dyDescent="0.5">
      <c r="A762" s="1" t="s">
        <v>338</v>
      </c>
      <c r="B762" s="1">
        <v>9</v>
      </c>
      <c r="C762" s="1">
        <v>43</v>
      </c>
    </row>
    <row r="763" spans="1:3" x14ac:dyDescent="0.5">
      <c r="A763" s="1" t="s">
        <v>339</v>
      </c>
      <c r="B763" s="1">
        <v>9</v>
      </c>
      <c r="C763" s="1">
        <v>43</v>
      </c>
    </row>
    <row r="764" spans="1:3" x14ac:dyDescent="0.5">
      <c r="A764" s="1" t="s">
        <v>20</v>
      </c>
      <c r="B764" s="1">
        <v>769</v>
      </c>
      <c r="C764" s="1">
        <v>53738</v>
      </c>
    </row>
    <row r="765" spans="1:3" x14ac:dyDescent="0.5">
      <c r="A765" s="1" t="s">
        <v>21</v>
      </c>
      <c r="B765" s="1">
        <v>769</v>
      </c>
      <c r="C765" s="1">
        <v>53738</v>
      </c>
    </row>
    <row r="766" spans="1:3" x14ac:dyDescent="0.5">
      <c r="A766" s="1" t="s">
        <v>594</v>
      </c>
      <c r="B766" s="1">
        <v>11</v>
      </c>
      <c r="C766" s="1">
        <v>176</v>
      </c>
    </row>
    <row r="767" spans="1:3" x14ac:dyDescent="0.5">
      <c r="A767" s="1" t="s">
        <v>18</v>
      </c>
      <c r="B767" s="1">
        <v>11</v>
      </c>
      <c r="C767" s="1">
        <v>176</v>
      </c>
    </row>
    <row r="768" spans="1:3" x14ac:dyDescent="0.5">
      <c r="A768" s="1" t="s">
        <v>656</v>
      </c>
      <c r="B768" s="1">
        <v>1</v>
      </c>
      <c r="C768" s="1">
        <v>72141</v>
      </c>
    </row>
    <row r="769" spans="1:3" x14ac:dyDescent="0.5">
      <c r="A769" s="1" t="s">
        <v>782</v>
      </c>
      <c r="B769" s="1">
        <v>1</v>
      </c>
      <c r="C769" s="1">
        <v>72141</v>
      </c>
    </row>
    <row r="770" spans="1:3" x14ac:dyDescent="0.5">
      <c r="A770" s="1" t="s">
        <v>630</v>
      </c>
      <c r="B770" s="1">
        <v>3</v>
      </c>
      <c r="C770" s="1">
        <v>756</v>
      </c>
    </row>
    <row r="771" spans="1:3" x14ac:dyDescent="0.5">
      <c r="A771" s="1" t="s">
        <v>23</v>
      </c>
      <c r="B771" s="1">
        <v>3</v>
      </c>
      <c r="C771" s="1">
        <v>756</v>
      </c>
    </row>
    <row r="772" spans="1:3" x14ac:dyDescent="0.5">
      <c r="A772" s="1" t="s">
        <v>707</v>
      </c>
      <c r="B772" s="1">
        <v>9</v>
      </c>
      <c r="C772" s="1">
        <v>54</v>
      </c>
    </row>
    <row r="773" spans="1:3" x14ac:dyDescent="0.5">
      <c r="A773" s="1" t="s">
        <v>35</v>
      </c>
      <c r="B773" s="1">
        <v>9</v>
      </c>
      <c r="C773" s="1">
        <v>54</v>
      </c>
    </row>
    <row r="774" spans="1:3" x14ac:dyDescent="0.5">
      <c r="A774" s="1" t="s">
        <v>439</v>
      </c>
      <c r="B774" s="1">
        <v>5</v>
      </c>
      <c r="C774" s="1">
        <v>65</v>
      </c>
    </row>
    <row r="775" spans="1:3" x14ac:dyDescent="0.5">
      <c r="A775" s="1" t="s">
        <v>55</v>
      </c>
      <c r="B775" s="1">
        <v>5</v>
      </c>
      <c r="C775" s="1">
        <v>65</v>
      </c>
    </row>
    <row r="776" spans="1:3" x14ac:dyDescent="0.5">
      <c r="A776" s="1" t="s">
        <v>221</v>
      </c>
      <c r="B776" s="1">
        <v>6</v>
      </c>
      <c r="C776" s="1">
        <v>58</v>
      </c>
    </row>
    <row r="777" spans="1:3" x14ac:dyDescent="0.5">
      <c r="A777" s="1" t="s">
        <v>222</v>
      </c>
      <c r="B777" s="1">
        <v>6</v>
      </c>
      <c r="C777" s="1">
        <v>58</v>
      </c>
    </row>
    <row r="778" spans="1:3" x14ac:dyDescent="0.5">
      <c r="A778" s="1" t="s">
        <v>348</v>
      </c>
      <c r="B778" s="1">
        <v>3</v>
      </c>
      <c r="C778" s="1">
        <v>135564</v>
      </c>
    </row>
    <row r="779" spans="1:3" x14ac:dyDescent="0.5">
      <c r="A779" s="1" t="s">
        <v>782</v>
      </c>
      <c r="B779" s="1">
        <v>3</v>
      </c>
      <c r="C779" s="1">
        <v>135564</v>
      </c>
    </row>
    <row r="780" spans="1:3" x14ac:dyDescent="0.5">
      <c r="A780" s="1" t="s">
        <v>465</v>
      </c>
      <c r="B780" s="1">
        <v>20</v>
      </c>
      <c r="C780" s="1">
        <v>9</v>
      </c>
    </row>
    <row r="781" spans="1:3" x14ac:dyDescent="0.5">
      <c r="A781" s="1" t="s">
        <v>18</v>
      </c>
      <c r="B781" s="1">
        <v>20</v>
      </c>
      <c r="C781" s="1">
        <v>9</v>
      </c>
    </row>
    <row r="782" spans="1:3" x14ac:dyDescent="0.5">
      <c r="A782" s="1" t="s">
        <v>663</v>
      </c>
      <c r="B782" s="1">
        <v>9</v>
      </c>
      <c r="C782" s="1">
        <v>142</v>
      </c>
    </row>
    <row r="783" spans="1:3" x14ac:dyDescent="0.5">
      <c r="A783" s="1" t="s">
        <v>264</v>
      </c>
      <c r="B783" s="1">
        <v>9</v>
      </c>
      <c r="C783" s="1">
        <v>142</v>
      </c>
    </row>
    <row r="784" spans="1:3" x14ac:dyDescent="0.5">
      <c r="A784" s="1" t="s">
        <v>586</v>
      </c>
      <c r="B784" s="1">
        <v>4</v>
      </c>
      <c r="C784" s="1">
        <v>1965</v>
      </c>
    </row>
    <row r="785" spans="1:3" x14ac:dyDescent="0.5">
      <c r="A785" s="1" t="s">
        <v>23</v>
      </c>
      <c r="B785" s="1">
        <v>4</v>
      </c>
      <c r="C785" s="1">
        <v>1965</v>
      </c>
    </row>
    <row r="786" spans="1:3" x14ac:dyDescent="0.5">
      <c r="A786" s="1" t="s">
        <v>373</v>
      </c>
      <c r="B786" s="1">
        <v>2</v>
      </c>
      <c r="C786" s="1">
        <v>545</v>
      </c>
    </row>
    <row r="787" spans="1:3" x14ac:dyDescent="0.5">
      <c r="A787" s="1" t="s">
        <v>23</v>
      </c>
      <c r="B787" s="1">
        <v>2</v>
      </c>
      <c r="C787" s="1">
        <v>545</v>
      </c>
    </row>
    <row r="788" spans="1:3" x14ac:dyDescent="0.5">
      <c r="A788" s="1" t="s">
        <v>175</v>
      </c>
      <c r="B788" s="1">
        <v>1</v>
      </c>
      <c r="C788" s="1">
        <v>32549</v>
      </c>
    </row>
    <row r="789" spans="1:3" x14ac:dyDescent="0.5">
      <c r="A789" s="1" t="s">
        <v>12</v>
      </c>
      <c r="B789" s="1">
        <v>1</v>
      </c>
      <c r="C789" s="1">
        <v>32549</v>
      </c>
    </row>
    <row r="790" spans="1:3" x14ac:dyDescent="0.5">
      <c r="A790" s="1" t="s">
        <v>374</v>
      </c>
      <c r="B790" s="1">
        <v>3</v>
      </c>
      <c r="C790" s="1">
        <v>69137</v>
      </c>
    </row>
    <row r="791" spans="1:3" x14ac:dyDescent="0.5">
      <c r="A791" s="1" t="s">
        <v>782</v>
      </c>
      <c r="B791" s="1">
        <v>3</v>
      </c>
      <c r="C791" s="1">
        <v>69137</v>
      </c>
    </row>
    <row r="792" spans="1:3" x14ac:dyDescent="0.5">
      <c r="A792" s="1" t="s">
        <v>90</v>
      </c>
      <c r="B792" s="1">
        <v>6</v>
      </c>
      <c r="C792" s="1">
        <v>250</v>
      </c>
    </row>
    <row r="793" spans="1:3" x14ac:dyDescent="0.5">
      <c r="A793" s="1" t="s">
        <v>91</v>
      </c>
      <c r="B793" s="1">
        <v>6</v>
      </c>
      <c r="C793" s="1">
        <v>250</v>
      </c>
    </row>
    <row r="794" spans="1:3" x14ac:dyDescent="0.5">
      <c r="A794" s="1" t="s">
        <v>484</v>
      </c>
      <c r="B794" s="1">
        <v>5</v>
      </c>
      <c r="C794" s="1">
        <v>158</v>
      </c>
    </row>
    <row r="795" spans="1:3" x14ac:dyDescent="0.5">
      <c r="A795" s="1" t="s">
        <v>18</v>
      </c>
      <c r="B795" s="1">
        <v>5</v>
      </c>
      <c r="C795" s="1">
        <v>158</v>
      </c>
    </row>
    <row r="796" spans="1:3" x14ac:dyDescent="0.5">
      <c r="A796" s="1" t="s">
        <v>579</v>
      </c>
      <c r="B796" s="1">
        <v>8</v>
      </c>
      <c r="C796" s="1">
        <v>323</v>
      </c>
    </row>
    <row r="797" spans="1:3" x14ac:dyDescent="0.5">
      <c r="A797" s="1" t="s">
        <v>580</v>
      </c>
      <c r="B797" s="1">
        <v>8</v>
      </c>
      <c r="C797" s="1">
        <v>323</v>
      </c>
    </row>
    <row r="798" spans="1:3" x14ac:dyDescent="0.5">
      <c r="A798" s="1" t="s">
        <v>570</v>
      </c>
      <c r="B798" s="1">
        <v>11</v>
      </c>
      <c r="C798" s="1">
        <v>58</v>
      </c>
    </row>
    <row r="799" spans="1:3" x14ac:dyDescent="0.5">
      <c r="A799" s="1" t="s">
        <v>18</v>
      </c>
      <c r="B799" s="1">
        <v>11</v>
      </c>
      <c r="C799" s="1">
        <v>58</v>
      </c>
    </row>
    <row r="800" spans="1:3" x14ac:dyDescent="0.5">
      <c r="A800" s="1" t="s">
        <v>328</v>
      </c>
      <c r="B800" s="1">
        <v>2</v>
      </c>
      <c r="C800" s="1">
        <v>50220</v>
      </c>
    </row>
    <row r="801" spans="1:3" x14ac:dyDescent="0.5">
      <c r="A801" s="1" t="s">
        <v>12</v>
      </c>
      <c r="B801" s="1">
        <v>2</v>
      </c>
      <c r="C801" s="1">
        <v>50220</v>
      </c>
    </row>
    <row r="802" spans="1:3" x14ac:dyDescent="0.5">
      <c r="A802" s="1" t="s">
        <v>183</v>
      </c>
      <c r="B802" s="1">
        <v>1</v>
      </c>
      <c r="C802" s="1">
        <v>4892</v>
      </c>
    </row>
    <row r="803" spans="1:3" x14ac:dyDescent="0.5">
      <c r="A803" s="1" t="s">
        <v>9</v>
      </c>
      <c r="B803" s="1">
        <v>1</v>
      </c>
      <c r="C803" s="1">
        <v>4892</v>
      </c>
    </row>
    <row r="804" spans="1:3" x14ac:dyDescent="0.5">
      <c r="A804" s="1" t="s">
        <v>443</v>
      </c>
      <c r="B804" s="1">
        <v>2</v>
      </c>
      <c r="C804" s="1">
        <v>30088</v>
      </c>
    </row>
    <row r="805" spans="1:3" x14ac:dyDescent="0.5">
      <c r="A805" s="1" t="s">
        <v>782</v>
      </c>
      <c r="B805" s="1">
        <v>2</v>
      </c>
      <c r="C805" s="1">
        <v>30088</v>
      </c>
    </row>
    <row r="806" spans="1:3" x14ac:dyDescent="0.5">
      <c r="A806" s="1" t="s">
        <v>323</v>
      </c>
      <c r="B806" s="1">
        <v>3</v>
      </c>
      <c r="C806" s="1">
        <v>2747</v>
      </c>
    </row>
    <row r="807" spans="1:3" x14ac:dyDescent="0.5">
      <c r="A807" s="1" t="s">
        <v>9</v>
      </c>
      <c r="B807" s="1">
        <v>3</v>
      </c>
      <c r="C807" s="1">
        <v>2747</v>
      </c>
    </row>
    <row r="808" spans="1:3" x14ac:dyDescent="0.5">
      <c r="A808" s="1" t="s">
        <v>677</v>
      </c>
      <c r="B808" s="1">
        <v>5</v>
      </c>
      <c r="C808" s="1">
        <v>190</v>
      </c>
    </row>
    <row r="809" spans="1:3" x14ac:dyDescent="0.5">
      <c r="A809" s="1" t="s">
        <v>453</v>
      </c>
      <c r="B809" s="1">
        <v>5</v>
      </c>
      <c r="C809" s="1">
        <v>190</v>
      </c>
    </row>
    <row r="810" spans="1:3" x14ac:dyDescent="0.5">
      <c r="A810" s="1" t="s">
        <v>202</v>
      </c>
      <c r="B810" s="1">
        <v>2</v>
      </c>
      <c r="C810" s="1">
        <v>566</v>
      </c>
    </row>
    <row r="811" spans="1:3" x14ac:dyDescent="0.5">
      <c r="A811" s="1" t="s">
        <v>23</v>
      </c>
      <c r="B811" s="1">
        <v>2</v>
      </c>
      <c r="C811" s="1">
        <v>566</v>
      </c>
    </row>
    <row r="812" spans="1:3" x14ac:dyDescent="0.5">
      <c r="A812" s="1" t="s">
        <v>361</v>
      </c>
      <c r="B812" s="1">
        <v>1</v>
      </c>
      <c r="C812" s="1">
        <v>103613</v>
      </c>
    </row>
    <row r="813" spans="1:3" x14ac:dyDescent="0.5">
      <c r="A813" s="1" t="s">
        <v>782</v>
      </c>
      <c r="B813" s="1">
        <v>1</v>
      </c>
      <c r="C813" s="1">
        <v>103613</v>
      </c>
    </row>
    <row r="814" spans="1:3" x14ac:dyDescent="0.5">
      <c r="A814" s="1" t="s">
        <v>503</v>
      </c>
      <c r="B814" s="1">
        <v>11</v>
      </c>
      <c r="C814" s="1">
        <v>88</v>
      </c>
    </row>
    <row r="815" spans="1:3" x14ac:dyDescent="0.5">
      <c r="A815" s="1" t="s">
        <v>18</v>
      </c>
      <c r="B815" s="1">
        <v>11</v>
      </c>
      <c r="C815" s="1">
        <v>88</v>
      </c>
    </row>
    <row r="816" spans="1:3" x14ac:dyDescent="0.5">
      <c r="A816" s="1" t="s">
        <v>669</v>
      </c>
      <c r="B816" s="1">
        <v>5</v>
      </c>
      <c r="C816" s="1">
        <v>131</v>
      </c>
    </row>
    <row r="817" spans="1:3" x14ac:dyDescent="0.5">
      <c r="A817" s="1" t="s">
        <v>76</v>
      </c>
      <c r="B817" s="1">
        <v>5</v>
      </c>
      <c r="C817" s="1">
        <v>131</v>
      </c>
    </row>
    <row r="818" spans="1:3" x14ac:dyDescent="0.5">
      <c r="A818" s="1" t="s">
        <v>207</v>
      </c>
      <c r="B818" s="1">
        <v>1</v>
      </c>
      <c r="C818" s="1">
        <v>54721</v>
      </c>
    </row>
    <row r="819" spans="1:3" x14ac:dyDescent="0.5">
      <c r="A819" s="1" t="s">
        <v>782</v>
      </c>
      <c r="B819" s="1">
        <v>1</v>
      </c>
      <c r="C819" s="1">
        <v>54721</v>
      </c>
    </row>
    <row r="820" spans="1:3" x14ac:dyDescent="0.5">
      <c r="A820" s="1" t="s">
        <v>362</v>
      </c>
      <c r="B820" s="1">
        <v>2</v>
      </c>
      <c r="C820" s="1">
        <v>73873</v>
      </c>
    </row>
    <row r="821" spans="1:3" x14ac:dyDescent="0.5">
      <c r="A821" s="1" t="s">
        <v>12</v>
      </c>
      <c r="B821" s="1">
        <v>2</v>
      </c>
      <c r="C821" s="1">
        <v>73873</v>
      </c>
    </row>
    <row r="822" spans="1:3" x14ac:dyDescent="0.5">
      <c r="A822" s="1" t="s">
        <v>393</v>
      </c>
      <c r="B822" s="1">
        <v>7</v>
      </c>
      <c r="C822" s="1">
        <v>162</v>
      </c>
    </row>
    <row r="823" spans="1:3" x14ac:dyDescent="0.5">
      <c r="A823" s="1" t="s">
        <v>394</v>
      </c>
      <c r="B823" s="1">
        <v>7</v>
      </c>
      <c r="C823" s="1">
        <v>162</v>
      </c>
    </row>
    <row r="824" spans="1:3" x14ac:dyDescent="0.5">
      <c r="A824" s="1" t="s">
        <v>430</v>
      </c>
      <c r="B824" s="1">
        <v>2</v>
      </c>
      <c r="C824" s="1">
        <v>4252</v>
      </c>
    </row>
    <row r="825" spans="1:3" x14ac:dyDescent="0.5">
      <c r="A825" s="1" t="s">
        <v>9</v>
      </c>
      <c r="B825" s="1">
        <v>2</v>
      </c>
      <c r="C825" s="1">
        <v>4252</v>
      </c>
    </row>
    <row r="826" spans="1:3" x14ac:dyDescent="0.5">
      <c r="A826" s="1" t="s">
        <v>771</v>
      </c>
      <c r="B826" s="1">
        <v>7</v>
      </c>
      <c r="C826" s="1">
        <v>278</v>
      </c>
    </row>
    <row r="827" spans="1:3" x14ac:dyDescent="0.5">
      <c r="A827" s="1" t="s">
        <v>772</v>
      </c>
      <c r="B827" s="1">
        <v>7</v>
      </c>
      <c r="C827" s="1">
        <v>278</v>
      </c>
    </row>
    <row r="828" spans="1:3" x14ac:dyDescent="0.5">
      <c r="A828" s="1" t="s">
        <v>634</v>
      </c>
      <c r="B828" s="1">
        <v>7</v>
      </c>
      <c r="C828" s="1">
        <v>188</v>
      </c>
    </row>
    <row r="829" spans="1:3" x14ac:dyDescent="0.5">
      <c r="A829" s="1" t="s">
        <v>490</v>
      </c>
      <c r="B829" s="1">
        <v>7</v>
      </c>
      <c r="C829" s="1">
        <v>188</v>
      </c>
    </row>
    <row r="830" spans="1:3" x14ac:dyDescent="0.5">
      <c r="A830" s="1" t="s">
        <v>144</v>
      </c>
      <c r="B830" s="1">
        <v>8</v>
      </c>
      <c r="C830" s="1">
        <v>588</v>
      </c>
    </row>
    <row r="831" spans="1:3" x14ac:dyDescent="0.5">
      <c r="A831" s="1" t="s">
        <v>18</v>
      </c>
      <c r="B831" s="1">
        <v>8</v>
      </c>
      <c r="C831" s="1">
        <v>588</v>
      </c>
    </row>
    <row r="832" spans="1:3" x14ac:dyDescent="0.5">
      <c r="A832" s="1" t="s">
        <v>494</v>
      </c>
      <c r="B832" s="1">
        <v>2</v>
      </c>
      <c r="C832" s="1">
        <v>28807</v>
      </c>
    </row>
    <row r="833" spans="1:3" x14ac:dyDescent="0.5">
      <c r="A833" s="1" t="s">
        <v>12</v>
      </c>
      <c r="B833" s="1">
        <v>2</v>
      </c>
      <c r="C833" s="1">
        <v>28807</v>
      </c>
    </row>
    <row r="834" spans="1:3" x14ac:dyDescent="0.5">
      <c r="A834" s="1" t="s">
        <v>34</v>
      </c>
      <c r="B834" s="1">
        <v>8</v>
      </c>
      <c r="C834" s="1">
        <v>315</v>
      </c>
    </row>
    <row r="835" spans="1:3" x14ac:dyDescent="0.5">
      <c r="A835" s="1" t="s">
        <v>35</v>
      </c>
      <c r="B835" s="1">
        <v>8</v>
      </c>
      <c r="C835" s="1">
        <v>315</v>
      </c>
    </row>
    <row r="836" spans="1:3" x14ac:dyDescent="0.5">
      <c r="A836" s="1" t="s">
        <v>428</v>
      </c>
      <c r="B836" s="1">
        <v>7</v>
      </c>
      <c r="C836" s="1">
        <v>302</v>
      </c>
    </row>
    <row r="837" spans="1:3" x14ac:dyDescent="0.5">
      <c r="A837" s="1" t="s">
        <v>18</v>
      </c>
      <c r="B837" s="1">
        <v>7</v>
      </c>
      <c r="C837" s="1">
        <v>302</v>
      </c>
    </row>
    <row r="838" spans="1:3" x14ac:dyDescent="0.5">
      <c r="A838" s="1" t="s">
        <v>345</v>
      </c>
      <c r="B838" s="1">
        <v>31</v>
      </c>
      <c r="C838" s="1">
        <v>403</v>
      </c>
    </row>
    <row r="839" spans="1:3" x14ac:dyDescent="0.5">
      <c r="A839" s="1" t="s">
        <v>18</v>
      </c>
      <c r="B839" s="1">
        <v>31</v>
      </c>
      <c r="C839" s="1">
        <v>403</v>
      </c>
    </row>
    <row r="840" spans="1:3" x14ac:dyDescent="0.5">
      <c r="A840" s="1" t="s">
        <v>440</v>
      </c>
      <c r="B840" s="1">
        <v>6</v>
      </c>
      <c r="C840" s="1">
        <v>155</v>
      </c>
    </row>
    <row r="841" spans="1:3" x14ac:dyDescent="0.5">
      <c r="A841" s="1" t="s">
        <v>16</v>
      </c>
      <c r="B841" s="1">
        <v>6</v>
      </c>
      <c r="C841" s="1">
        <v>155</v>
      </c>
    </row>
    <row r="842" spans="1:3" x14ac:dyDescent="0.5">
      <c r="A842" s="1" t="s">
        <v>743</v>
      </c>
      <c r="B842" s="1">
        <v>2</v>
      </c>
      <c r="C842" s="1">
        <v>72297</v>
      </c>
    </row>
    <row r="843" spans="1:3" x14ac:dyDescent="0.5">
      <c r="A843" s="1" t="s">
        <v>782</v>
      </c>
      <c r="B843" s="1">
        <v>2</v>
      </c>
      <c r="C843" s="1">
        <v>72297</v>
      </c>
    </row>
    <row r="844" spans="1:3" x14ac:dyDescent="0.5">
      <c r="A844" s="1" t="s">
        <v>275</v>
      </c>
      <c r="B844" s="1">
        <v>2</v>
      </c>
      <c r="C844" s="1">
        <v>57512</v>
      </c>
    </row>
    <row r="845" spans="1:3" x14ac:dyDescent="0.5">
      <c r="A845" s="1" t="s">
        <v>12</v>
      </c>
      <c r="B845" s="1">
        <v>2</v>
      </c>
      <c r="C845" s="1">
        <v>57512</v>
      </c>
    </row>
    <row r="846" spans="1:3" x14ac:dyDescent="0.5">
      <c r="A846" s="1" t="s">
        <v>315</v>
      </c>
      <c r="B846" s="1">
        <v>5</v>
      </c>
      <c r="C846" s="1">
        <v>81</v>
      </c>
    </row>
    <row r="847" spans="1:3" x14ac:dyDescent="0.5">
      <c r="A847" s="1" t="s">
        <v>29</v>
      </c>
      <c r="B847" s="1">
        <v>5</v>
      </c>
      <c r="C847" s="1">
        <v>81</v>
      </c>
    </row>
    <row r="848" spans="1:3" x14ac:dyDescent="0.5">
      <c r="A848" s="1" t="s">
        <v>152</v>
      </c>
      <c r="B848" s="1">
        <v>7</v>
      </c>
      <c r="C848" s="1">
        <v>82</v>
      </c>
    </row>
    <row r="849" spans="1:3" x14ac:dyDescent="0.5">
      <c r="A849" s="1" t="s">
        <v>103</v>
      </c>
      <c r="B849" s="1">
        <v>7</v>
      </c>
      <c r="C849" s="1">
        <v>82</v>
      </c>
    </row>
    <row r="850" spans="1:3" x14ac:dyDescent="0.5">
      <c r="A850" s="1" t="s">
        <v>203</v>
      </c>
      <c r="B850" s="1">
        <v>3</v>
      </c>
      <c r="C850" s="1">
        <v>43177</v>
      </c>
    </row>
    <row r="851" spans="1:3" x14ac:dyDescent="0.5">
      <c r="A851" s="1" t="s">
        <v>12</v>
      </c>
      <c r="B851" s="1">
        <v>3</v>
      </c>
      <c r="C851" s="1">
        <v>43177</v>
      </c>
    </row>
    <row r="852" spans="1:3" x14ac:dyDescent="0.5">
      <c r="A852" s="1" t="s">
        <v>311</v>
      </c>
      <c r="B852" s="1">
        <v>1</v>
      </c>
      <c r="C852" s="1">
        <v>4252</v>
      </c>
    </row>
    <row r="853" spans="1:3" x14ac:dyDescent="0.5">
      <c r="A853" s="1" t="s">
        <v>9</v>
      </c>
      <c r="B853" s="1">
        <v>1</v>
      </c>
      <c r="C853" s="1">
        <v>4252</v>
      </c>
    </row>
    <row r="854" spans="1:3" x14ac:dyDescent="0.5">
      <c r="A854" s="1" t="s">
        <v>71</v>
      </c>
      <c r="B854" s="1">
        <v>6</v>
      </c>
      <c r="C854" s="1">
        <v>41</v>
      </c>
    </row>
    <row r="855" spans="1:3" x14ac:dyDescent="0.5">
      <c r="A855" s="1" t="s">
        <v>72</v>
      </c>
      <c r="B855" s="1">
        <v>6</v>
      </c>
      <c r="C855" s="1">
        <v>41</v>
      </c>
    </row>
    <row r="856" spans="1:3" x14ac:dyDescent="0.5">
      <c r="A856" s="1" t="s">
        <v>527</v>
      </c>
      <c r="B856" s="1">
        <v>2</v>
      </c>
      <c r="C856" s="1">
        <v>86889</v>
      </c>
    </row>
    <row r="857" spans="1:3" x14ac:dyDescent="0.5">
      <c r="A857" s="1" t="s">
        <v>12</v>
      </c>
      <c r="B857" s="1">
        <v>2</v>
      </c>
      <c r="C857" s="1">
        <v>86889</v>
      </c>
    </row>
    <row r="858" spans="1:3" x14ac:dyDescent="0.5">
      <c r="A858" s="1" t="s">
        <v>351</v>
      </c>
      <c r="B858" s="1">
        <v>6</v>
      </c>
      <c r="C858" s="1">
        <v>97</v>
      </c>
    </row>
    <row r="859" spans="1:3" x14ac:dyDescent="0.5">
      <c r="A859" s="1" t="s">
        <v>29</v>
      </c>
      <c r="B859" s="1">
        <v>6</v>
      </c>
      <c r="C859" s="1">
        <v>97</v>
      </c>
    </row>
    <row r="860" spans="1:3" x14ac:dyDescent="0.5">
      <c r="A860" s="1" t="s">
        <v>561</v>
      </c>
      <c r="B860" s="1">
        <v>3</v>
      </c>
      <c r="C860" s="1">
        <v>421</v>
      </c>
    </row>
    <row r="861" spans="1:3" x14ac:dyDescent="0.5">
      <c r="A861" s="1" t="s">
        <v>23</v>
      </c>
      <c r="B861" s="1">
        <v>3</v>
      </c>
      <c r="C861" s="1">
        <v>421</v>
      </c>
    </row>
    <row r="862" spans="1:3" x14ac:dyDescent="0.5">
      <c r="A862" s="1" t="s">
        <v>69</v>
      </c>
      <c r="B862" s="1">
        <v>5</v>
      </c>
      <c r="C862" s="1">
        <v>56</v>
      </c>
    </row>
    <row r="863" spans="1:3" x14ac:dyDescent="0.5">
      <c r="A863" s="1" t="s">
        <v>70</v>
      </c>
      <c r="B863" s="1">
        <v>5</v>
      </c>
      <c r="C863" s="1">
        <v>56</v>
      </c>
    </row>
    <row r="864" spans="1:3" x14ac:dyDescent="0.5">
      <c r="A864" s="1" t="s">
        <v>623</v>
      </c>
      <c r="B864" s="1">
        <v>3</v>
      </c>
      <c r="C864" s="1">
        <v>55499</v>
      </c>
    </row>
    <row r="865" spans="1:3" x14ac:dyDescent="0.5">
      <c r="A865" s="1" t="s">
        <v>782</v>
      </c>
      <c r="B865" s="1">
        <v>3</v>
      </c>
      <c r="C865" s="1">
        <v>55499</v>
      </c>
    </row>
    <row r="866" spans="1:3" x14ac:dyDescent="0.5">
      <c r="A866" s="1" t="s">
        <v>398</v>
      </c>
      <c r="B866" s="1">
        <v>18</v>
      </c>
      <c r="C866" s="1">
        <v>654</v>
      </c>
    </row>
    <row r="867" spans="1:3" x14ac:dyDescent="0.5">
      <c r="A867" s="1" t="s">
        <v>18</v>
      </c>
      <c r="B867" s="1">
        <v>11</v>
      </c>
      <c r="C867" s="1">
        <v>501</v>
      </c>
    </row>
    <row r="868" spans="1:3" x14ac:dyDescent="0.5">
      <c r="A868" s="1" t="s">
        <v>415</v>
      </c>
      <c r="B868" s="1">
        <v>7</v>
      </c>
      <c r="C868" s="1">
        <v>153</v>
      </c>
    </row>
    <row r="869" spans="1:3" x14ac:dyDescent="0.5">
      <c r="A869" s="1" t="s">
        <v>242</v>
      </c>
      <c r="B869" s="1">
        <v>2</v>
      </c>
      <c r="C869" s="1">
        <v>38993</v>
      </c>
    </row>
    <row r="870" spans="1:3" x14ac:dyDescent="0.5">
      <c r="A870" s="1" t="s">
        <v>12</v>
      </c>
      <c r="B870" s="1">
        <v>2</v>
      </c>
      <c r="C870" s="1">
        <v>38993</v>
      </c>
    </row>
    <row r="871" spans="1:3" x14ac:dyDescent="0.5">
      <c r="A871" s="1" t="s">
        <v>507</v>
      </c>
      <c r="B871" s="1">
        <v>2</v>
      </c>
      <c r="C871" s="1">
        <v>9338</v>
      </c>
    </row>
    <row r="872" spans="1:3" x14ac:dyDescent="0.5">
      <c r="A872" s="1" t="s">
        <v>9</v>
      </c>
      <c r="B872" s="1">
        <v>2</v>
      </c>
      <c r="C872" s="1">
        <v>9338</v>
      </c>
    </row>
    <row r="873" spans="1:3" x14ac:dyDescent="0.5">
      <c r="A873" s="1" t="s">
        <v>546</v>
      </c>
      <c r="B873" s="1">
        <v>5</v>
      </c>
      <c r="C873" s="1">
        <v>78</v>
      </c>
    </row>
    <row r="874" spans="1:3" x14ac:dyDescent="0.5">
      <c r="A874" s="1" t="s">
        <v>39</v>
      </c>
      <c r="B874" s="1">
        <v>5</v>
      </c>
      <c r="C874" s="1">
        <v>78</v>
      </c>
    </row>
    <row r="875" spans="1:3" x14ac:dyDescent="0.5">
      <c r="A875" s="1" t="s">
        <v>94</v>
      </c>
      <c r="B875" s="1">
        <v>9</v>
      </c>
      <c r="C875" s="1">
        <v>64</v>
      </c>
    </row>
    <row r="876" spans="1:3" x14ac:dyDescent="0.5">
      <c r="A876" s="1" t="s">
        <v>35</v>
      </c>
      <c r="B876" s="1">
        <v>9</v>
      </c>
      <c r="C876" s="1">
        <v>64</v>
      </c>
    </row>
    <row r="877" spans="1:3" x14ac:dyDescent="0.5">
      <c r="A877" s="1" t="s">
        <v>276</v>
      </c>
      <c r="B877" s="1">
        <v>3</v>
      </c>
      <c r="C877" s="1">
        <v>53463</v>
      </c>
    </row>
    <row r="878" spans="1:3" x14ac:dyDescent="0.5">
      <c r="A878" s="1" t="s">
        <v>782</v>
      </c>
      <c r="B878" s="1">
        <v>3</v>
      </c>
      <c r="C878" s="1">
        <v>53463</v>
      </c>
    </row>
    <row r="879" spans="1:3" x14ac:dyDescent="0.5">
      <c r="A879" s="1" t="s">
        <v>161</v>
      </c>
      <c r="B879" s="1">
        <v>3</v>
      </c>
      <c r="C879" s="1">
        <v>49021</v>
      </c>
    </row>
    <row r="880" spans="1:3" x14ac:dyDescent="0.5">
      <c r="A880" s="1" t="s">
        <v>12</v>
      </c>
      <c r="B880" s="1">
        <v>3</v>
      </c>
      <c r="C880" s="1">
        <v>49021</v>
      </c>
    </row>
    <row r="881" spans="1:3" x14ac:dyDescent="0.5">
      <c r="A881" s="1" t="s">
        <v>388</v>
      </c>
      <c r="B881" s="1">
        <v>2</v>
      </c>
      <c r="C881" s="1">
        <v>9685</v>
      </c>
    </row>
    <row r="882" spans="1:3" x14ac:dyDescent="0.5">
      <c r="A882" s="1" t="s">
        <v>9</v>
      </c>
      <c r="B882" s="1">
        <v>2</v>
      </c>
      <c r="C882" s="1">
        <v>9685</v>
      </c>
    </row>
    <row r="883" spans="1:3" x14ac:dyDescent="0.5">
      <c r="A883" s="1" t="s">
        <v>208</v>
      </c>
      <c r="B883" s="1">
        <v>2</v>
      </c>
      <c r="C883" s="1">
        <v>6348</v>
      </c>
    </row>
    <row r="884" spans="1:3" x14ac:dyDescent="0.5">
      <c r="A884" s="1" t="s">
        <v>9</v>
      </c>
      <c r="B884" s="1">
        <v>2</v>
      </c>
      <c r="C884" s="1">
        <v>6348</v>
      </c>
    </row>
    <row r="885" spans="1:3" x14ac:dyDescent="0.5">
      <c r="A885" s="1" t="s">
        <v>724</v>
      </c>
      <c r="B885" s="1">
        <v>11</v>
      </c>
      <c r="C885" s="1">
        <v>44</v>
      </c>
    </row>
    <row r="886" spans="1:3" x14ac:dyDescent="0.5">
      <c r="A886" s="1" t="s">
        <v>18</v>
      </c>
      <c r="B886" s="1">
        <v>11</v>
      </c>
      <c r="C886" s="1">
        <v>44</v>
      </c>
    </row>
    <row r="887" spans="1:3" x14ac:dyDescent="0.5">
      <c r="A887" s="1" t="s">
        <v>269</v>
      </c>
      <c r="B887" s="1">
        <v>9</v>
      </c>
      <c r="C887" s="1">
        <v>4323</v>
      </c>
    </row>
    <row r="888" spans="1:3" x14ac:dyDescent="0.5">
      <c r="A888" s="1" t="s">
        <v>9</v>
      </c>
      <c r="B888" s="1">
        <v>2</v>
      </c>
      <c r="C888" s="1">
        <v>4252</v>
      </c>
    </row>
    <row r="889" spans="1:3" x14ac:dyDescent="0.5">
      <c r="A889" s="1" t="s">
        <v>33</v>
      </c>
      <c r="B889" s="1">
        <v>7</v>
      </c>
      <c r="C889" s="1">
        <v>71</v>
      </c>
    </row>
    <row r="890" spans="1:3" x14ac:dyDescent="0.5">
      <c r="A890" s="1" t="s">
        <v>592</v>
      </c>
      <c r="B890" s="1">
        <v>9</v>
      </c>
      <c r="C890" s="1">
        <v>466</v>
      </c>
    </row>
    <row r="891" spans="1:3" x14ac:dyDescent="0.5">
      <c r="A891" s="1" t="s">
        <v>580</v>
      </c>
      <c r="B891" s="1">
        <v>9</v>
      </c>
      <c r="C891" s="1">
        <v>466</v>
      </c>
    </row>
    <row r="892" spans="1:3" x14ac:dyDescent="0.5">
      <c r="A892" s="1" t="s">
        <v>247</v>
      </c>
      <c r="B892" s="1">
        <v>7</v>
      </c>
      <c r="C892" s="1">
        <v>69</v>
      </c>
    </row>
    <row r="893" spans="1:3" x14ac:dyDescent="0.5">
      <c r="A893" s="1" t="s">
        <v>33</v>
      </c>
      <c r="B893" s="1">
        <v>7</v>
      </c>
      <c r="C893" s="1">
        <v>69</v>
      </c>
    </row>
    <row r="894" spans="1:3" x14ac:dyDescent="0.5">
      <c r="A894" s="1" t="s">
        <v>505</v>
      </c>
      <c r="B894" s="1">
        <v>13</v>
      </c>
      <c r="C894" s="1">
        <v>76</v>
      </c>
    </row>
    <row r="895" spans="1:3" x14ac:dyDescent="0.5">
      <c r="A895" s="1" t="s">
        <v>18</v>
      </c>
      <c r="B895" s="1">
        <v>13</v>
      </c>
      <c r="C895" s="1">
        <v>76</v>
      </c>
    </row>
    <row r="896" spans="1:3" x14ac:dyDescent="0.5">
      <c r="A896" s="1" t="s">
        <v>10</v>
      </c>
      <c r="B896" s="1">
        <v>2</v>
      </c>
      <c r="C896" s="1">
        <v>87215</v>
      </c>
    </row>
    <row r="897" spans="1:3" x14ac:dyDescent="0.5">
      <c r="A897" s="1" t="s">
        <v>782</v>
      </c>
      <c r="B897" s="1">
        <v>2</v>
      </c>
      <c r="C897" s="1">
        <v>87215</v>
      </c>
    </row>
    <row r="898" spans="1:3" x14ac:dyDescent="0.5">
      <c r="A898" s="1" t="s">
        <v>341</v>
      </c>
      <c r="B898" s="1">
        <v>11</v>
      </c>
      <c r="C898" s="1">
        <v>20</v>
      </c>
    </row>
    <row r="899" spans="1:3" x14ac:dyDescent="0.5">
      <c r="A899" s="1" t="s">
        <v>342</v>
      </c>
      <c r="B899" s="1">
        <v>11</v>
      </c>
      <c r="C899" s="1">
        <v>20</v>
      </c>
    </row>
    <row r="900" spans="1:3" x14ac:dyDescent="0.5">
      <c r="A900" s="1" t="s">
        <v>67</v>
      </c>
      <c r="B900" s="1">
        <v>3</v>
      </c>
      <c r="C900" s="1">
        <v>52510</v>
      </c>
    </row>
    <row r="901" spans="1:3" x14ac:dyDescent="0.5">
      <c r="A901" s="1" t="s">
        <v>782</v>
      </c>
      <c r="B901" s="1">
        <v>3</v>
      </c>
      <c r="C901" s="1">
        <v>52510</v>
      </c>
    </row>
    <row r="902" spans="1:3" x14ac:dyDescent="0.5">
      <c r="A902" s="1" t="s">
        <v>170</v>
      </c>
      <c r="B902" s="1">
        <v>3</v>
      </c>
      <c r="C902" s="1">
        <v>62007</v>
      </c>
    </row>
    <row r="903" spans="1:3" x14ac:dyDescent="0.5">
      <c r="A903" s="1" t="s">
        <v>782</v>
      </c>
      <c r="B903" s="1">
        <v>3</v>
      </c>
      <c r="C903" s="1">
        <v>62007</v>
      </c>
    </row>
    <row r="904" spans="1:3" x14ac:dyDescent="0.5">
      <c r="A904" s="1" t="s">
        <v>319</v>
      </c>
      <c r="B904" s="1">
        <v>9</v>
      </c>
      <c r="C904" s="1">
        <v>3398</v>
      </c>
    </row>
    <row r="905" spans="1:3" x14ac:dyDescent="0.5">
      <c r="A905" s="1" t="s">
        <v>18</v>
      </c>
      <c r="B905" s="1">
        <v>9</v>
      </c>
      <c r="C905" s="1">
        <v>3398</v>
      </c>
    </row>
    <row r="906" spans="1:3" x14ac:dyDescent="0.5">
      <c r="A906" s="1" t="s">
        <v>533</v>
      </c>
      <c r="B906" s="1">
        <v>7</v>
      </c>
      <c r="C906" s="1">
        <v>2229</v>
      </c>
    </row>
    <row r="907" spans="1:3" x14ac:dyDescent="0.5">
      <c r="A907" s="1" t="s">
        <v>474</v>
      </c>
      <c r="B907" s="1">
        <v>7</v>
      </c>
      <c r="C907" s="1">
        <v>2229</v>
      </c>
    </row>
    <row r="908" spans="1:3" x14ac:dyDescent="0.5">
      <c r="A908" s="1" t="s">
        <v>565</v>
      </c>
      <c r="B908" s="1">
        <v>7</v>
      </c>
      <c r="C908" s="1">
        <v>85</v>
      </c>
    </row>
    <row r="909" spans="1:3" x14ac:dyDescent="0.5">
      <c r="A909" s="1" t="s">
        <v>566</v>
      </c>
      <c r="B909" s="1">
        <v>7</v>
      </c>
      <c r="C909" s="1">
        <v>85</v>
      </c>
    </row>
    <row r="910" spans="1:3" x14ac:dyDescent="0.5">
      <c r="A910" s="1" t="s">
        <v>182</v>
      </c>
      <c r="B910" s="1">
        <v>8</v>
      </c>
      <c r="C910" s="1">
        <v>62</v>
      </c>
    </row>
    <row r="911" spans="1:3" x14ac:dyDescent="0.5">
      <c r="A911" s="1" t="s">
        <v>18</v>
      </c>
      <c r="B911" s="1">
        <v>8</v>
      </c>
      <c r="C911" s="1">
        <v>62</v>
      </c>
    </row>
    <row r="912" spans="1:3" x14ac:dyDescent="0.5">
      <c r="A912" s="1" t="s">
        <v>93</v>
      </c>
      <c r="B912" s="1">
        <v>8</v>
      </c>
      <c r="C912" s="1">
        <v>68</v>
      </c>
    </row>
    <row r="913" spans="1:3" x14ac:dyDescent="0.5">
      <c r="A913" s="1" t="s">
        <v>70</v>
      </c>
      <c r="B913" s="1">
        <v>8</v>
      </c>
      <c r="C913" s="1">
        <v>68</v>
      </c>
    </row>
    <row r="914" spans="1:3" x14ac:dyDescent="0.5">
      <c r="A914" s="1" t="s">
        <v>280</v>
      </c>
      <c r="B914" s="1">
        <v>2</v>
      </c>
      <c r="C914" s="1">
        <v>3334</v>
      </c>
    </row>
    <row r="915" spans="1:3" x14ac:dyDescent="0.5">
      <c r="A915" s="1" t="s">
        <v>9</v>
      </c>
      <c r="B915" s="1">
        <v>2</v>
      </c>
      <c r="C915" s="1">
        <v>3334</v>
      </c>
    </row>
    <row r="916" spans="1:3" x14ac:dyDescent="0.5">
      <c r="A916" s="1" t="s">
        <v>518</v>
      </c>
      <c r="B916" s="1">
        <v>4</v>
      </c>
      <c r="C916" s="1">
        <v>6601</v>
      </c>
    </row>
    <row r="917" spans="1:3" x14ac:dyDescent="0.5">
      <c r="A917" s="1" t="s">
        <v>9</v>
      </c>
      <c r="B917" s="1">
        <v>4</v>
      </c>
      <c r="C917" s="1">
        <v>6601</v>
      </c>
    </row>
    <row r="918" spans="1:3" x14ac:dyDescent="0.5">
      <c r="A918" s="1" t="s">
        <v>685</v>
      </c>
      <c r="B918" s="1">
        <v>7</v>
      </c>
      <c r="C918" s="1">
        <v>58</v>
      </c>
    </row>
    <row r="919" spans="1:3" x14ac:dyDescent="0.5">
      <c r="A919" s="1" t="s">
        <v>39</v>
      </c>
      <c r="B919" s="1">
        <v>7</v>
      </c>
      <c r="C919" s="1">
        <v>58</v>
      </c>
    </row>
    <row r="920" spans="1:3" x14ac:dyDescent="0.5">
      <c r="A920" s="1" t="s">
        <v>695</v>
      </c>
      <c r="B920" s="1">
        <v>8</v>
      </c>
      <c r="C920" s="1">
        <v>51</v>
      </c>
    </row>
    <row r="921" spans="1:3" x14ac:dyDescent="0.5">
      <c r="A921" s="1" t="s">
        <v>696</v>
      </c>
      <c r="B921" s="1">
        <v>8</v>
      </c>
      <c r="C921" s="1">
        <v>51</v>
      </c>
    </row>
    <row r="922" spans="1:3" x14ac:dyDescent="0.5">
      <c r="A922" s="1" t="s">
        <v>528</v>
      </c>
      <c r="B922" s="1">
        <v>3</v>
      </c>
      <c r="C922" s="1">
        <v>12211</v>
      </c>
    </row>
    <row r="923" spans="1:3" x14ac:dyDescent="0.5">
      <c r="A923" s="1" t="s">
        <v>9</v>
      </c>
      <c r="B923" s="1">
        <v>3</v>
      </c>
      <c r="C923" s="1">
        <v>12211</v>
      </c>
    </row>
    <row r="924" spans="1:3" x14ac:dyDescent="0.5">
      <c r="A924" s="1" t="s">
        <v>198</v>
      </c>
      <c r="B924" s="1">
        <v>9</v>
      </c>
      <c r="C924" s="1">
        <v>43396</v>
      </c>
    </row>
    <row r="925" spans="1:3" x14ac:dyDescent="0.5">
      <c r="A925" s="1" t="s">
        <v>12</v>
      </c>
      <c r="B925" s="1">
        <v>3</v>
      </c>
      <c r="C925" s="1">
        <v>43296</v>
      </c>
    </row>
    <row r="926" spans="1:3" x14ac:dyDescent="0.5">
      <c r="A926" s="1" t="s">
        <v>199</v>
      </c>
      <c r="B926" s="1">
        <v>6</v>
      </c>
      <c r="C926" s="1">
        <v>100</v>
      </c>
    </row>
    <row r="927" spans="1:3" x14ac:dyDescent="0.5">
      <c r="A927" s="1" t="s">
        <v>190</v>
      </c>
      <c r="B927" s="1">
        <v>15</v>
      </c>
      <c r="C927" s="1">
        <v>166</v>
      </c>
    </row>
    <row r="928" spans="1:3" x14ac:dyDescent="0.5">
      <c r="A928" s="1" t="s">
        <v>18</v>
      </c>
      <c r="B928" s="1">
        <v>7</v>
      </c>
      <c r="C928" s="1">
        <v>143</v>
      </c>
    </row>
    <row r="929" spans="1:3" x14ac:dyDescent="0.5">
      <c r="A929" s="1" t="s">
        <v>567</v>
      </c>
      <c r="B929" s="1">
        <v>8</v>
      </c>
      <c r="C929" s="1">
        <v>23</v>
      </c>
    </row>
    <row r="930" spans="1:3" x14ac:dyDescent="0.5">
      <c r="A930" s="1" t="s">
        <v>138</v>
      </c>
      <c r="B930" s="1">
        <v>4</v>
      </c>
      <c r="C930" s="1">
        <v>6864</v>
      </c>
    </row>
    <row r="931" spans="1:3" x14ac:dyDescent="0.5">
      <c r="A931" s="1" t="s">
        <v>9</v>
      </c>
      <c r="B931" s="1">
        <v>4</v>
      </c>
      <c r="C931" s="1">
        <v>6864</v>
      </c>
    </row>
    <row r="932" spans="1:3" x14ac:dyDescent="0.5">
      <c r="A932" s="1" t="s">
        <v>697</v>
      </c>
      <c r="B932" s="1">
        <v>9</v>
      </c>
      <c r="C932" s="1">
        <v>110</v>
      </c>
    </row>
    <row r="933" spans="1:3" x14ac:dyDescent="0.5">
      <c r="A933" s="1" t="s">
        <v>39</v>
      </c>
      <c r="B933" s="1">
        <v>9</v>
      </c>
      <c r="C933" s="1">
        <v>110</v>
      </c>
    </row>
    <row r="934" spans="1:3" x14ac:dyDescent="0.5">
      <c r="A934" s="1" t="s">
        <v>659</v>
      </c>
      <c r="B934" s="1">
        <v>4</v>
      </c>
      <c r="C934" s="1">
        <v>443</v>
      </c>
    </row>
    <row r="935" spans="1:3" x14ac:dyDescent="0.5">
      <c r="A935" s="1" t="s">
        <v>23</v>
      </c>
      <c r="B935" s="1">
        <v>4</v>
      </c>
      <c r="C935" s="1">
        <v>443</v>
      </c>
    </row>
    <row r="936" spans="1:3" x14ac:dyDescent="0.5">
      <c r="A936" s="1" t="s">
        <v>690</v>
      </c>
      <c r="B936" s="1">
        <v>2</v>
      </c>
      <c r="C936" s="1">
        <v>11823</v>
      </c>
    </row>
    <row r="937" spans="1:3" x14ac:dyDescent="0.5">
      <c r="A937" s="1" t="s">
        <v>9</v>
      </c>
      <c r="B937" s="1">
        <v>2</v>
      </c>
      <c r="C937" s="1">
        <v>11823</v>
      </c>
    </row>
    <row r="938" spans="1:3" x14ac:dyDescent="0.5">
      <c r="A938" s="1" t="s">
        <v>366</v>
      </c>
      <c r="B938" s="1">
        <v>6</v>
      </c>
      <c r="C938" s="1">
        <v>79</v>
      </c>
    </row>
    <row r="939" spans="1:3" x14ac:dyDescent="0.5">
      <c r="A939" s="1" t="s">
        <v>367</v>
      </c>
      <c r="B939" s="1">
        <v>6</v>
      </c>
      <c r="C939" s="1">
        <v>79</v>
      </c>
    </row>
    <row r="940" spans="1:3" x14ac:dyDescent="0.5">
      <c r="A940" s="1" t="s">
        <v>658</v>
      </c>
      <c r="B940" s="1">
        <v>3</v>
      </c>
      <c r="C940" s="1">
        <v>3627</v>
      </c>
    </row>
    <row r="941" spans="1:3" x14ac:dyDescent="0.5">
      <c r="A941" s="1" t="s">
        <v>9</v>
      </c>
      <c r="B941" s="1">
        <v>3</v>
      </c>
      <c r="C941" s="1">
        <v>3627</v>
      </c>
    </row>
    <row r="942" spans="1:3" x14ac:dyDescent="0.5">
      <c r="A942" s="1" t="s">
        <v>541</v>
      </c>
      <c r="B942" s="1">
        <v>8</v>
      </c>
      <c r="C942" s="1">
        <v>85</v>
      </c>
    </row>
    <row r="943" spans="1:3" x14ac:dyDescent="0.5">
      <c r="A943" s="1" t="s">
        <v>474</v>
      </c>
      <c r="B943" s="1">
        <v>8</v>
      </c>
      <c r="C943" s="1">
        <v>85</v>
      </c>
    </row>
    <row r="944" spans="1:3" x14ac:dyDescent="0.5">
      <c r="A944" s="1" t="s">
        <v>325</v>
      </c>
      <c r="B944" s="1">
        <v>5</v>
      </c>
      <c r="C944" s="1">
        <v>91</v>
      </c>
    </row>
    <row r="945" spans="1:3" x14ac:dyDescent="0.5">
      <c r="A945" s="1" t="s">
        <v>18</v>
      </c>
      <c r="B945" s="1">
        <v>5</v>
      </c>
      <c r="C945" s="1">
        <v>91</v>
      </c>
    </row>
    <row r="946" spans="1:3" x14ac:dyDescent="0.5">
      <c r="A946" s="1" t="s">
        <v>59</v>
      </c>
      <c r="B946" s="1">
        <v>9</v>
      </c>
      <c r="C946" s="1">
        <v>112</v>
      </c>
    </row>
    <row r="947" spans="1:3" x14ac:dyDescent="0.5">
      <c r="A947" s="1" t="s">
        <v>60</v>
      </c>
      <c r="B947" s="1">
        <v>9</v>
      </c>
      <c r="C947" s="1">
        <v>112</v>
      </c>
    </row>
    <row r="948" spans="1:3" x14ac:dyDescent="0.5">
      <c r="A948" s="1" t="s">
        <v>382</v>
      </c>
      <c r="B948" s="1">
        <v>9</v>
      </c>
      <c r="C948" s="1">
        <v>130</v>
      </c>
    </row>
    <row r="949" spans="1:3" x14ac:dyDescent="0.5">
      <c r="A949" s="1" t="s">
        <v>76</v>
      </c>
      <c r="B949" s="1">
        <v>9</v>
      </c>
      <c r="C949" s="1">
        <v>130</v>
      </c>
    </row>
    <row r="950" spans="1:3" x14ac:dyDescent="0.5">
      <c r="A950" s="1" t="s">
        <v>132</v>
      </c>
      <c r="B950" s="1">
        <v>11</v>
      </c>
      <c r="C950" s="1">
        <v>129</v>
      </c>
    </row>
    <row r="951" spans="1:3" x14ac:dyDescent="0.5">
      <c r="A951" s="1" t="s">
        <v>18</v>
      </c>
      <c r="B951" s="1">
        <v>11</v>
      </c>
      <c r="C951" s="1">
        <v>129</v>
      </c>
    </row>
    <row r="952" spans="1:3" x14ac:dyDescent="0.5">
      <c r="A952" s="1" t="s">
        <v>400</v>
      </c>
      <c r="B952" s="1">
        <v>13</v>
      </c>
      <c r="C952" s="1">
        <v>174</v>
      </c>
    </row>
    <row r="953" spans="1:3" x14ac:dyDescent="0.5">
      <c r="A953" s="1" t="s">
        <v>18</v>
      </c>
      <c r="B953" s="1">
        <v>13</v>
      </c>
      <c r="C953" s="1">
        <v>174</v>
      </c>
    </row>
    <row r="954" spans="1:3" x14ac:dyDescent="0.5">
      <c r="A954" s="1" t="s">
        <v>352</v>
      </c>
      <c r="B954" s="1">
        <v>7</v>
      </c>
      <c r="C954" s="1">
        <v>69</v>
      </c>
    </row>
    <row r="955" spans="1:3" x14ac:dyDescent="0.5">
      <c r="A955" s="1" t="s">
        <v>353</v>
      </c>
      <c r="B955" s="1">
        <v>7</v>
      </c>
      <c r="C955" s="1">
        <v>69</v>
      </c>
    </row>
    <row r="956" spans="1:3" x14ac:dyDescent="0.5">
      <c r="A956" s="1" t="s">
        <v>145</v>
      </c>
      <c r="B956" s="1">
        <v>9</v>
      </c>
      <c r="C956" s="1">
        <v>473</v>
      </c>
    </row>
    <row r="957" spans="1:3" x14ac:dyDescent="0.5">
      <c r="A957" s="1" t="s">
        <v>18</v>
      </c>
      <c r="B957" s="1">
        <v>9</v>
      </c>
      <c r="C957" s="1">
        <v>473</v>
      </c>
    </row>
    <row r="958" spans="1:3" x14ac:dyDescent="0.5">
      <c r="A958" s="1" t="s">
        <v>58</v>
      </c>
      <c r="B958" s="1">
        <v>8</v>
      </c>
      <c r="C958" s="1">
        <v>91</v>
      </c>
    </row>
    <row r="959" spans="1:3" x14ac:dyDescent="0.5">
      <c r="A959" s="1" t="s">
        <v>27</v>
      </c>
      <c r="B959" s="1">
        <v>8</v>
      </c>
      <c r="C959" s="1">
        <v>91</v>
      </c>
    </row>
    <row r="960" spans="1:3" x14ac:dyDescent="0.5">
      <c r="A960" s="1" t="s">
        <v>476</v>
      </c>
      <c r="B960" s="1">
        <v>7</v>
      </c>
      <c r="C960" s="1">
        <v>78</v>
      </c>
    </row>
    <row r="961" spans="1:3" x14ac:dyDescent="0.5">
      <c r="A961" s="1" t="s">
        <v>477</v>
      </c>
      <c r="B961" s="1">
        <v>7</v>
      </c>
      <c r="C961" s="1">
        <v>78</v>
      </c>
    </row>
    <row r="962" spans="1:3" x14ac:dyDescent="0.5">
      <c r="A962" s="1" t="s">
        <v>294</v>
      </c>
      <c r="B962" s="1">
        <v>3</v>
      </c>
      <c r="C962" s="1">
        <v>41120</v>
      </c>
    </row>
    <row r="963" spans="1:3" x14ac:dyDescent="0.5">
      <c r="A963" s="1" t="s">
        <v>12</v>
      </c>
      <c r="B963" s="1">
        <v>3</v>
      </c>
      <c r="C963" s="1">
        <v>41120</v>
      </c>
    </row>
    <row r="964" spans="1:3" x14ac:dyDescent="0.5">
      <c r="A964" s="1" t="s">
        <v>277</v>
      </c>
      <c r="B964" s="1">
        <v>4</v>
      </c>
      <c r="C964" s="1">
        <v>714</v>
      </c>
    </row>
    <row r="965" spans="1:3" x14ac:dyDescent="0.5">
      <c r="A965" s="1" t="s">
        <v>23</v>
      </c>
      <c r="B965" s="1">
        <v>4</v>
      </c>
      <c r="C965" s="1">
        <v>714</v>
      </c>
    </row>
    <row r="966" spans="1:3" x14ac:dyDescent="0.5">
      <c r="A966" s="1" t="s">
        <v>590</v>
      </c>
      <c r="B966" s="1">
        <v>8</v>
      </c>
      <c r="C966" s="1">
        <v>134</v>
      </c>
    </row>
    <row r="967" spans="1:3" x14ac:dyDescent="0.5">
      <c r="A967" s="1" t="s">
        <v>591</v>
      </c>
      <c r="B967" s="1">
        <v>8</v>
      </c>
      <c r="C967" s="1">
        <v>134</v>
      </c>
    </row>
    <row r="968" spans="1:3" x14ac:dyDescent="0.5">
      <c r="A968" s="1" t="s">
        <v>82</v>
      </c>
      <c r="B968" s="1">
        <v>13</v>
      </c>
      <c r="C968" s="1">
        <v>140</v>
      </c>
    </row>
    <row r="969" spans="1:3" x14ac:dyDescent="0.5">
      <c r="A969" s="1" t="s">
        <v>18</v>
      </c>
      <c r="B969" s="1">
        <v>13</v>
      </c>
      <c r="C969" s="1">
        <v>140</v>
      </c>
    </row>
    <row r="970" spans="1:3" x14ac:dyDescent="0.5">
      <c r="A970" s="1" t="s">
        <v>61</v>
      </c>
      <c r="B970" s="1">
        <v>10</v>
      </c>
      <c r="C970" s="1">
        <v>109</v>
      </c>
    </row>
    <row r="971" spans="1:3" x14ac:dyDescent="0.5">
      <c r="A971" s="1" t="s">
        <v>29</v>
      </c>
      <c r="B971" s="1">
        <v>10</v>
      </c>
      <c r="C971" s="1">
        <v>109</v>
      </c>
    </row>
    <row r="972" spans="1:3" x14ac:dyDescent="0.5">
      <c r="A972" s="1" t="s">
        <v>167</v>
      </c>
      <c r="B972" s="1">
        <v>8</v>
      </c>
      <c r="C972" s="1">
        <v>205</v>
      </c>
    </row>
    <row r="973" spans="1:3" x14ac:dyDescent="0.5">
      <c r="A973" s="1" t="s">
        <v>60</v>
      </c>
      <c r="B973" s="1">
        <v>8</v>
      </c>
      <c r="C973" s="1">
        <v>205</v>
      </c>
    </row>
    <row r="974" spans="1:3" x14ac:dyDescent="0.5">
      <c r="A974" s="1" t="s">
        <v>587</v>
      </c>
      <c r="B974" s="1">
        <v>5</v>
      </c>
      <c r="C974" s="1">
        <v>112991</v>
      </c>
    </row>
    <row r="975" spans="1:3" x14ac:dyDescent="0.5">
      <c r="A975" s="1" t="s">
        <v>12</v>
      </c>
      <c r="B975" s="1">
        <v>5</v>
      </c>
      <c r="C975" s="1">
        <v>112991</v>
      </c>
    </row>
    <row r="976" spans="1:3" x14ac:dyDescent="0.5">
      <c r="A976" s="1" t="s">
        <v>133</v>
      </c>
      <c r="B976" s="1">
        <v>12</v>
      </c>
      <c r="C976" s="1">
        <v>8655</v>
      </c>
    </row>
    <row r="977" spans="1:3" x14ac:dyDescent="0.5">
      <c r="A977" s="1" t="s">
        <v>18</v>
      </c>
      <c r="B977" s="1">
        <v>12</v>
      </c>
      <c r="C977" s="1">
        <v>8655</v>
      </c>
    </row>
    <row r="978" spans="1:3" x14ac:dyDescent="0.5">
      <c r="A978" s="1" t="s">
        <v>504</v>
      </c>
      <c r="B978" s="1">
        <v>12</v>
      </c>
      <c r="C978" s="1">
        <v>100</v>
      </c>
    </row>
    <row r="979" spans="1:3" x14ac:dyDescent="0.5">
      <c r="A979" s="1" t="s">
        <v>18</v>
      </c>
      <c r="B979" s="1">
        <v>12</v>
      </c>
      <c r="C979" s="1">
        <v>100</v>
      </c>
    </row>
    <row r="980" spans="1:3" x14ac:dyDescent="0.5">
      <c r="A980" s="1" t="s">
        <v>562</v>
      </c>
      <c r="B980" s="1">
        <v>4</v>
      </c>
      <c r="C980" s="1">
        <v>48633</v>
      </c>
    </row>
    <row r="981" spans="1:3" x14ac:dyDescent="0.5">
      <c r="A981" s="1" t="s">
        <v>782</v>
      </c>
      <c r="B981" s="1">
        <v>4</v>
      </c>
      <c r="C981" s="1">
        <v>48633</v>
      </c>
    </row>
    <row r="982" spans="1:3" x14ac:dyDescent="0.5">
      <c r="A982" s="1" t="s">
        <v>557</v>
      </c>
      <c r="B982" s="1">
        <v>5</v>
      </c>
      <c r="C982" s="1">
        <v>96</v>
      </c>
    </row>
    <row r="983" spans="1:3" x14ac:dyDescent="0.5">
      <c r="A983" s="1" t="s">
        <v>447</v>
      </c>
      <c r="B983" s="1">
        <v>5</v>
      </c>
      <c r="C983" s="1">
        <v>96</v>
      </c>
    </row>
    <row r="984" spans="1:3" x14ac:dyDescent="0.5">
      <c r="A984" s="1" t="s">
        <v>483</v>
      </c>
      <c r="B984" s="1">
        <v>4</v>
      </c>
      <c r="C984" s="1">
        <v>18617</v>
      </c>
    </row>
    <row r="985" spans="1:3" x14ac:dyDescent="0.5">
      <c r="A985" s="1" t="s">
        <v>12</v>
      </c>
      <c r="B985" s="1">
        <v>4</v>
      </c>
      <c r="C985" s="1">
        <v>18617</v>
      </c>
    </row>
    <row r="986" spans="1:3" x14ac:dyDescent="0.5">
      <c r="A986" s="1" t="s">
        <v>384</v>
      </c>
      <c r="B986" s="1">
        <v>11</v>
      </c>
      <c r="C986" s="1">
        <v>223</v>
      </c>
    </row>
    <row r="987" spans="1:3" x14ac:dyDescent="0.5">
      <c r="A987" s="1" t="s">
        <v>143</v>
      </c>
      <c r="B987" s="1">
        <v>11</v>
      </c>
      <c r="C987" s="1">
        <v>223</v>
      </c>
    </row>
    <row r="988" spans="1:3" x14ac:dyDescent="0.5">
      <c r="A988" s="1" t="s">
        <v>158</v>
      </c>
      <c r="B988" s="1">
        <v>12</v>
      </c>
      <c r="C988" s="1">
        <v>152</v>
      </c>
    </row>
    <row r="989" spans="1:3" x14ac:dyDescent="0.5">
      <c r="A989" s="1" t="s">
        <v>18</v>
      </c>
      <c r="B989" s="1">
        <v>12</v>
      </c>
      <c r="C989" s="1">
        <v>152</v>
      </c>
    </row>
    <row r="990" spans="1:3" x14ac:dyDescent="0.5">
      <c r="A990" s="1" t="s">
        <v>296</v>
      </c>
      <c r="B990" s="1">
        <v>5</v>
      </c>
      <c r="C990" s="1">
        <v>66</v>
      </c>
    </row>
    <row r="991" spans="1:3" x14ac:dyDescent="0.5">
      <c r="A991" s="1" t="s">
        <v>106</v>
      </c>
      <c r="B991" s="1">
        <v>5</v>
      </c>
      <c r="C991" s="1">
        <v>66</v>
      </c>
    </row>
    <row r="992" spans="1:3" x14ac:dyDescent="0.5">
      <c r="A992" s="1" t="s">
        <v>297</v>
      </c>
      <c r="B992" s="1">
        <v>6</v>
      </c>
      <c r="C992" s="1">
        <v>204</v>
      </c>
    </row>
    <row r="993" spans="1:3" x14ac:dyDescent="0.5">
      <c r="A993" s="1" t="s">
        <v>108</v>
      </c>
      <c r="B993" s="1">
        <v>6</v>
      </c>
      <c r="C993" s="1">
        <v>204</v>
      </c>
    </row>
    <row r="994" spans="1:3" x14ac:dyDescent="0.5">
      <c r="A994" s="1" t="s">
        <v>270</v>
      </c>
      <c r="B994" s="1">
        <v>3</v>
      </c>
      <c r="C994" s="1">
        <v>626</v>
      </c>
    </row>
    <row r="995" spans="1:3" x14ac:dyDescent="0.5">
      <c r="A995" s="1" t="s">
        <v>23</v>
      </c>
      <c r="B995" s="1">
        <v>3</v>
      </c>
      <c r="C995" s="1">
        <v>626</v>
      </c>
    </row>
    <row r="996" spans="1:3" x14ac:dyDescent="0.5">
      <c r="A996" s="1" t="s">
        <v>354</v>
      </c>
      <c r="B996" s="1">
        <v>8</v>
      </c>
      <c r="C996" s="1">
        <v>139</v>
      </c>
    </row>
    <row r="997" spans="1:3" x14ac:dyDescent="0.5">
      <c r="A997" s="1" t="s">
        <v>143</v>
      </c>
      <c r="B997" s="1">
        <v>8</v>
      </c>
      <c r="C997" s="1">
        <v>139</v>
      </c>
    </row>
    <row r="998" spans="1:3" x14ac:dyDescent="0.5">
      <c r="A998" s="1" t="s">
        <v>187</v>
      </c>
      <c r="B998" s="1">
        <v>5</v>
      </c>
      <c r="C998" s="1">
        <v>35</v>
      </c>
    </row>
    <row r="999" spans="1:3" x14ac:dyDescent="0.5">
      <c r="A999" s="1" t="s">
        <v>188</v>
      </c>
      <c r="B999" s="1">
        <v>5</v>
      </c>
      <c r="C999" s="1">
        <v>35</v>
      </c>
    </row>
    <row r="1000" spans="1:3" x14ac:dyDescent="0.5">
      <c r="A1000" s="1" t="s">
        <v>38</v>
      </c>
      <c r="B1000" s="1">
        <v>10</v>
      </c>
      <c r="C1000" s="1">
        <v>3852</v>
      </c>
    </row>
    <row r="1001" spans="1:3" x14ac:dyDescent="0.5">
      <c r="A1001" s="1" t="s">
        <v>39</v>
      </c>
      <c r="B1001" s="1">
        <v>10</v>
      </c>
      <c r="C1001" s="1">
        <v>3852</v>
      </c>
    </row>
    <row r="1002" spans="1:3" x14ac:dyDescent="0.5">
      <c r="A1002" s="1" t="s">
        <v>301</v>
      </c>
      <c r="B1002" s="1">
        <v>21</v>
      </c>
      <c r="C1002" s="1">
        <v>152</v>
      </c>
    </row>
    <row r="1003" spans="1:3" x14ac:dyDescent="0.5">
      <c r="A1003" s="1" t="s">
        <v>18</v>
      </c>
      <c r="B1003" s="1">
        <v>21</v>
      </c>
      <c r="C1003" s="1">
        <v>152</v>
      </c>
    </row>
    <row r="1004" spans="1:3" x14ac:dyDescent="0.5">
      <c r="A1004" s="1" t="s">
        <v>617</v>
      </c>
      <c r="B1004" s="1">
        <v>4</v>
      </c>
      <c r="C1004" s="1">
        <v>58217</v>
      </c>
    </row>
    <row r="1005" spans="1:3" x14ac:dyDescent="0.5">
      <c r="A1005" s="1" t="s">
        <v>782</v>
      </c>
      <c r="B1005" s="1">
        <v>4</v>
      </c>
      <c r="C1005" s="1">
        <v>58217</v>
      </c>
    </row>
    <row r="1006" spans="1:3" x14ac:dyDescent="0.5">
      <c r="A1006" s="1" t="s">
        <v>329</v>
      </c>
      <c r="B1006" s="1">
        <v>3</v>
      </c>
      <c r="C1006" s="1">
        <v>461</v>
      </c>
    </row>
    <row r="1007" spans="1:3" x14ac:dyDescent="0.5">
      <c r="A1007" s="1" t="s">
        <v>23</v>
      </c>
      <c r="B1007" s="1">
        <v>3</v>
      </c>
      <c r="C1007" s="1">
        <v>461</v>
      </c>
    </row>
    <row r="1008" spans="1:3" x14ac:dyDescent="0.5">
      <c r="A1008" s="1" t="s">
        <v>383</v>
      </c>
      <c r="B1008" s="1">
        <v>10</v>
      </c>
      <c r="C1008" s="1">
        <v>74</v>
      </c>
    </row>
    <row r="1009" spans="1:3" x14ac:dyDescent="0.5">
      <c r="A1009" s="1" t="s">
        <v>53</v>
      </c>
      <c r="B1009" s="1">
        <v>10</v>
      </c>
      <c r="C1009" s="1">
        <v>74</v>
      </c>
    </row>
    <row r="1010" spans="1:3" x14ac:dyDescent="0.5">
      <c r="A1010" s="1" t="s">
        <v>113</v>
      </c>
      <c r="B1010" s="1">
        <v>2</v>
      </c>
      <c r="C1010" s="1">
        <v>119515</v>
      </c>
    </row>
    <row r="1011" spans="1:3" x14ac:dyDescent="0.5">
      <c r="A1011" s="1" t="s">
        <v>782</v>
      </c>
      <c r="B1011" s="1">
        <v>2</v>
      </c>
      <c r="C1011" s="1">
        <v>119515</v>
      </c>
    </row>
    <row r="1012" spans="1:3" x14ac:dyDescent="0.5">
      <c r="A1012" s="1" t="s">
        <v>87</v>
      </c>
      <c r="B1012" s="1">
        <v>4</v>
      </c>
      <c r="C1012" s="1">
        <v>725</v>
      </c>
    </row>
    <row r="1013" spans="1:3" x14ac:dyDescent="0.5">
      <c r="A1013" s="1" t="s">
        <v>23</v>
      </c>
      <c r="B1013" s="1">
        <v>4</v>
      </c>
      <c r="C1013" s="1">
        <v>725</v>
      </c>
    </row>
    <row r="1014" spans="1:3" x14ac:dyDescent="0.5">
      <c r="A1014" s="1" t="s">
        <v>547</v>
      </c>
      <c r="B1014" s="1">
        <v>6</v>
      </c>
      <c r="C1014" s="1">
        <v>68</v>
      </c>
    </row>
    <row r="1015" spans="1:3" x14ac:dyDescent="0.5">
      <c r="A1015" s="1" t="s">
        <v>53</v>
      </c>
      <c r="B1015" s="1">
        <v>6</v>
      </c>
      <c r="C1015" s="1">
        <v>68</v>
      </c>
    </row>
    <row r="1016" spans="1:3" x14ac:dyDescent="0.5">
      <c r="A1016" s="1" t="s">
        <v>631</v>
      </c>
      <c r="B1016" s="1">
        <v>4</v>
      </c>
      <c r="C1016" s="1">
        <v>74060</v>
      </c>
    </row>
    <row r="1017" spans="1:3" x14ac:dyDescent="0.5">
      <c r="A1017" s="1" t="s">
        <v>782</v>
      </c>
      <c r="B1017" s="1">
        <v>4</v>
      </c>
      <c r="C1017" s="1">
        <v>74060</v>
      </c>
    </row>
    <row r="1018" spans="1:3" x14ac:dyDescent="0.5">
      <c r="A1018" s="1" t="s">
        <v>457</v>
      </c>
      <c r="B1018" s="1">
        <v>13</v>
      </c>
      <c r="C1018" s="1">
        <v>15</v>
      </c>
    </row>
    <row r="1019" spans="1:3" x14ac:dyDescent="0.5">
      <c r="A1019" s="1" t="s">
        <v>458</v>
      </c>
      <c r="B1019" s="1">
        <v>13</v>
      </c>
      <c r="C1019" s="1">
        <v>15</v>
      </c>
    </row>
    <row r="1020" spans="1:3" x14ac:dyDescent="0.5">
      <c r="A1020" s="1" t="s">
        <v>472</v>
      </c>
      <c r="B1020" s="1">
        <v>4</v>
      </c>
      <c r="C1020" s="1">
        <v>155</v>
      </c>
    </row>
    <row r="1021" spans="1:3" x14ac:dyDescent="0.5">
      <c r="A1021" s="1" t="s">
        <v>23</v>
      </c>
      <c r="B1021" s="1">
        <v>4</v>
      </c>
      <c r="C1021" s="1">
        <v>155</v>
      </c>
    </row>
    <row r="1022" spans="1:3" x14ac:dyDescent="0.5">
      <c r="A1022" s="1" t="s">
        <v>185</v>
      </c>
      <c r="B1022" s="1">
        <v>3</v>
      </c>
      <c r="C1022" s="1">
        <v>68200</v>
      </c>
    </row>
    <row r="1023" spans="1:3" x14ac:dyDescent="0.5">
      <c r="A1023" s="1" t="s">
        <v>782</v>
      </c>
      <c r="B1023" s="1">
        <v>3</v>
      </c>
      <c r="C1023" s="1">
        <v>68200</v>
      </c>
    </row>
    <row r="1024" spans="1:3" x14ac:dyDescent="0.5">
      <c r="A1024" s="1" t="s">
        <v>581</v>
      </c>
      <c r="B1024" s="1">
        <v>9</v>
      </c>
      <c r="C1024" s="1">
        <v>143</v>
      </c>
    </row>
    <row r="1025" spans="1:3" x14ac:dyDescent="0.5">
      <c r="A1025" s="1" t="s">
        <v>18</v>
      </c>
      <c r="B1025" s="1">
        <v>9</v>
      </c>
      <c r="C1025" s="1">
        <v>143</v>
      </c>
    </row>
    <row r="1026" spans="1:3" x14ac:dyDescent="0.5">
      <c r="A1026" s="1" t="s">
        <v>520</v>
      </c>
      <c r="B1026" s="1">
        <v>6</v>
      </c>
      <c r="C1026" s="1">
        <v>77</v>
      </c>
    </row>
    <row r="1027" spans="1:3" x14ac:dyDescent="0.5">
      <c r="A1027" s="1" t="s">
        <v>53</v>
      </c>
      <c r="B1027" s="1">
        <v>6</v>
      </c>
      <c r="C1027" s="1">
        <v>77</v>
      </c>
    </row>
    <row r="1028" spans="1:3" x14ac:dyDescent="0.5">
      <c r="A1028" s="1" t="s">
        <v>191</v>
      </c>
      <c r="B1028" s="1">
        <v>8</v>
      </c>
      <c r="C1028" s="1">
        <v>252</v>
      </c>
    </row>
    <row r="1029" spans="1:3" x14ac:dyDescent="0.5">
      <c r="A1029" s="1" t="s">
        <v>18</v>
      </c>
      <c r="B1029" s="1">
        <v>8</v>
      </c>
      <c r="C1029" s="1">
        <v>252</v>
      </c>
    </row>
    <row r="1030" spans="1:3" x14ac:dyDescent="0.5">
      <c r="A1030" s="1" t="s">
        <v>607</v>
      </c>
      <c r="B1030" s="1">
        <v>10</v>
      </c>
      <c r="C1030" s="1">
        <v>221</v>
      </c>
    </row>
    <row r="1031" spans="1:3" x14ac:dyDescent="0.5">
      <c r="A1031" s="1" t="s">
        <v>91</v>
      </c>
      <c r="B1031" s="1">
        <v>10</v>
      </c>
      <c r="C1031" s="1">
        <v>221</v>
      </c>
    </row>
    <row r="1032" spans="1:3" x14ac:dyDescent="0.5">
      <c r="A1032" s="1" t="s">
        <v>402</v>
      </c>
      <c r="B1032" s="1">
        <v>3</v>
      </c>
      <c r="C1032" s="1">
        <v>903</v>
      </c>
    </row>
    <row r="1033" spans="1:3" x14ac:dyDescent="0.5">
      <c r="A1033" s="1" t="s">
        <v>23</v>
      </c>
      <c r="B1033" s="1">
        <v>3</v>
      </c>
      <c r="C1033" s="1">
        <v>903</v>
      </c>
    </row>
    <row r="1034" spans="1:3" x14ac:dyDescent="0.5">
      <c r="A1034" s="1" t="s">
        <v>162</v>
      </c>
      <c r="B1034" s="1">
        <v>4</v>
      </c>
      <c r="C1034" s="1">
        <v>32028</v>
      </c>
    </row>
    <row r="1035" spans="1:3" x14ac:dyDescent="0.5">
      <c r="A1035" s="1" t="s">
        <v>9</v>
      </c>
      <c r="B1035" s="1">
        <v>4</v>
      </c>
      <c r="C1035" s="1">
        <v>32028</v>
      </c>
    </row>
    <row r="1036" spans="1:3" x14ac:dyDescent="0.5">
      <c r="A1036" s="1" t="s">
        <v>298</v>
      </c>
      <c r="B1036" s="1">
        <v>7</v>
      </c>
      <c r="C1036" s="1">
        <v>105</v>
      </c>
    </row>
    <row r="1037" spans="1:3" x14ac:dyDescent="0.5">
      <c r="A1037" s="1" t="s">
        <v>299</v>
      </c>
      <c r="B1037" s="1">
        <v>7</v>
      </c>
      <c r="C1037" s="1">
        <v>105</v>
      </c>
    </row>
    <row r="1038" spans="1:3" x14ac:dyDescent="0.5">
      <c r="A1038" s="1" t="s">
        <v>573</v>
      </c>
      <c r="B1038" s="1">
        <v>2</v>
      </c>
      <c r="C1038" s="1">
        <v>47444</v>
      </c>
    </row>
    <row r="1039" spans="1:3" x14ac:dyDescent="0.5">
      <c r="A1039" s="1" t="s">
        <v>782</v>
      </c>
      <c r="B1039" s="1">
        <v>2</v>
      </c>
      <c r="C1039" s="1">
        <v>47444</v>
      </c>
    </row>
    <row r="1040" spans="1:3" x14ac:dyDescent="0.5">
      <c r="A1040" s="1" t="s">
        <v>225</v>
      </c>
      <c r="B1040" s="1">
        <v>9</v>
      </c>
      <c r="C1040" s="1">
        <v>224</v>
      </c>
    </row>
    <row r="1041" spans="1:3" x14ac:dyDescent="0.5">
      <c r="A1041" s="1" t="s">
        <v>18</v>
      </c>
      <c r="B1041" s="1">
        <v>9</v>
      </c>
      <c r="C1041" s="1">
        <v>224</v>
      </c>
    </row>
    <row r="1042" spans="1:3" x14ac:dyDescent="0.5">
      <c r="A1042" s="1" t="s">
        <v>295</v>
      </c>
      <c r="B1042" s="1">
        <v>4</v>
      </c>
      <c r="C1042" s="1">
        <v>321</v>
      </c>
    </row>
    <row r="1043" spans="1:3" x14ac:dyDescent="0.5">
      <c r="A1043" s="1" t="s">
        <v>23</v>
      </c>
      <c r="B1043" s="1">
        <v>4</v>
      </c>
      <c r="C1043" s="1">
        <v>321</v>
      </c>
    </row>
    <row r="1044" spans="1:3" x14ac:dyDescent="0.5">
      <c r="A1044" s="1" t="s">
        <v>721</v>
      </c>
      <c r="B1044" s="1">
        <v>8</v>
      </c>
      <c r="C1044" s="1">
        <v>24</v>
      </c>
    </row>
    <row r="1045" spans="1:3" x14ac:dyDescent="0.5">
      <c r="A1045" s="1" t="s">
        <v>18</v>
      </c>
      <c r="B1045" s="1">
        <v>8</v>
      </c>
      <c r="C1045" s="1">
        <v>24</v>
      </c>
    </row>
    <row r="1046" spans="1:3" x14ac:dyDescent="0.5">
      <c r="A1046" s="1" t="s">
        <v>320</v>
      </c>
      <c r="B1046" s="1">
        <v>10</v>
      </c>
      <c r="C1046" s="1">
        <v>91</v>
      </c>
    </row>
    <row r="1047" spans="1:3" x14ac:dyDescent="0.5">
      <c r="A1047" s="1" t="s">
        <v>18</v>
      </c>
      <c r="B1047" s="1">
        <v>10</v>
      </c>
      <c r="C1047" s="1">
        <v>91</v>
      </c>
    </row>
    <row r="1048" spans="1:3" x14ac:dyDescent="0.5">
      <c r="A1048" s="1" t="s">
        <v>433</v>
      </c>
      <c r="B1048" s="1">
        <v>5</v>
      </c>
      <c r="C1048" s="1">
        <v>70</v>
      </c>
    </row>
    <row r="1049" spans="1:3" x14ac:dyDescent="0.5">
      <c r="A1049" s="1" t="s">
        <v>89</v>
      </c>
      <c r="B1049" s="1">
        <v>5</v>
      </c>
      <c r="C1049" s="1">
        <v>70</v>
      </c>
    </row>
    <row r="1050" spans="1:3" x14ac:dyDescent="0.5">
      <c r="A1050" s="1" t="s">
        <v>290</v>
      </c>
      <c r="B1050" s="1">
        <v>11</v>
      </c>
      <c r="C1050" s="1">
        <v>416</v>
      </c>
    </row>
    <row r="1051" spans="1:3" x14ac:dyDescent="0.5">
      <c r="A1051" s="1" t="s">
        <v>18</v>
      </c>
      <c r="B1051" s="1">
        <v>11</v>
      </c>
      <c r="C1051" s="1">
        <v>416</v>
      </c>
    </row>
    <row r="1052" spans="1:3" x14ac:dyDescent="0.5">
      <c r="A1052" s="1" t="s">
        <v>763</v>
      </c>
      <c r="B1052" s="1">
        <v>11</v>
      </c>
      <c r="C1052" s="1">
        <v>227</v>
      </c>
    </row>
    <row r="1053" spans="1:3" x14ac:dyDescent="0.5">
      <c r="A1053" s="1" t="s">
        <v>140</v>
      </c>
      <c r="B1053" s="1">
        <v>11</v>
      </c>
      <c r="C1053" s="1">
        <v>227</v>
      </c>
    </row>
    <row r="1054" spans="1:3" x14ac:dyDescent="0.5">
      <c r="A1054" s="1" t="s">
        <v>575</v>
      </c>
      <c r="B1054" s="1">
        <v>4</v>
      </c>
      <c r="C1054" s="1">
        <v>62155</v>
      </c>
    </row>
    <row r="1055" spans="1:3" x14ac:dyDescent="0.5">
      <c r="A1055" s="1" t="s">
        <v>12</v>
      </c>
      <c r="B1055" s="1">
        <v>4</v>
      </c>
      <c r="C1055" s="1">
        <v>62155</v>
      </c>
    </row>
    <row r="1056" spans="1:3" x14ac:dyDescent="0.5">
      <c r="A1056" s="1" t="s">
        <v>288</v>
      </c>
      <c r="B1056" s="1">
        <v>9</v>
      </c>
      <c r="C1056" s="1">
        <v>60</v>
      </c>
    </row>
    <row r="1057" spans="1:3" x14ac:dyDescent="0.5">
      <c r="A1057" s="1" t="s">
        <v>39</v>
      </c>
      <c r="B1057" s="1">
        <v>9</v>
      </c>
      <c r="C1057" s="1">
        <v>60</v>
      </c>
    </row>
    <row r="1058" spans="1:3" x14ac:dyDescent="0.5">
      <c r="A1058" s="1" t="s">
        <v>445</v>
      </c>
      <c r="B1058" s="1">
        <v>4</v>
      </c>
      <c r="C1058" s="1">
        <v>4568</v>
      </c>
    </row>
    <row r="1059" spans="1:3" x14ac:dyDescent="0.5">
      <c r="A1059" s="1" t="s">
        <v>9</v>
      </c>
      <c r="B1059" s="1">
        <v>4</v>
      </c>
      <c r="C1059" s="1">
        <v>4568</v>
      </c>
    </row>
    <row r="1060" spans="1:3" x14ac:dyDescent="0.5">
      <c r="A1060" s="1" t="s">
        <v>390</v>
      </c>
      <c r="B1060" s="1">
        <v>4</v>
      </c>
      <c r="C1060" s="1">
        <v>146295</v>
      </c>
    </row>
    <row r="1061" spans="1:3" x14ac:dyDescent="0.5">
      <c r="A1061" s="1" t="s">
        <v>782</v>
      </c>
      <c r="B1061" s="1">
        <v>4</v>
      </c>
      <c r="C1061" s="1">
        <v>146295</v>
      </c>
    </row>
    <row r="1062" spans="1:3" x14ac:dyDescent="0.5">
      <c r="A1062" s="1" t="s">
        <v>776</v>
      </c>
      <c r="B1062" s="1">
        <v>11</v>
      </c>
      <c r="C1062" s="1">
        <v>71</v>
      </c>
    </row>
    <row r="1063" spans="1:3" x14ac:dyDescent="0.5">
      <c r="A1063" s="1" t="s">
        <v>126</v>
      </c>
      <c r="B1063" s="1">
        <v>11</v>
      </c>
      <c r="C1063" s="1">
        <v>71</v>
      </c>
    </row>
    <row r="1064" spans="1:3" x14ac:dyDescent="0.5">
      <c r="A1064" s="1" t="s">
        <v>155</v>
      </c>
      <c r="B1064" s="1">
        <v>10</v>
      </c>
      <c r="C1064" s="1">
        <v>72</v>
      </c>
    </row>
    <row r="1065" spans="1:3" x14ac:dyDescent="0.5">
      <c r="A1065" s="1" t="s">
        <v>156</v>
      </c>
      <c r="B1065" s="1">
        <v>10</v>
      </c>
      <c r="C1065" s="1">
        <v>72</v>
      </c>
    </row>
    <row r="1066" spans="1:3" x14ac:dyDescent="0.5">
      <c r="A1066" s="1" t="s">
        <v>568</v>
      </c>
      <c r="B1066" s="1">
        <v>9</v>
      </c>
      <c r="C1066" s="1">
        <v>28</v>
      </c>
    </row>
    <row r="1067" spans="1:3" x14ac:dyDescent="0.5">
      <c r="A1067" s="1" t="s">
        <v>31</v>
      </c>
      <c r="B1067" s="1">
        <v>9</v>
      </c>
      <c r="C1067" s="1">
        <v>28</v>
      </c>
    </row>
    <row r="1068" spans="1:3" x14ac:dyDescent="0.5">
      <c r="A1068" s="1" t="s">
        <v>64</v>
      </c>
      <c r="B1068" s="1">
        <v>12</v>
      </c>
      <c r="C1068" s="1">
        <v>107</v>
      </c>
    </row>
    <row r="1069" spans="1:3" x14ac:dyDescent="0.5">
      <c r="A1069" s="1" t="s">
        <v>31</v>
      </c>
      <c r="B1069" s="1">
        <v>12</v>
      </c>
      <c r="C1069" s="1">
        <v>107</v>
      </c>
    </row>
    <row r="1070" spans="1:3" x14ac:dyDescent="0.5">
      <c r="A1070" s="1" t="s">
        <v>459</v>
      </c>
      <c r="B1070" s="1">
        <v>14</v>
      </c>
      <c r="C1070" s="1">
        <v>8</v>
      </c>
    </row>
    <row r="1071" spans="1:3" x14ac:dyDescent="0.5">
      <c r="A1071" s="1" t="s">
        <v>31</v>
      </c>
      <c r="B1071" s="1">
        <v>14</v>
      </c>
      <c r="C1071" s="1">
        <v>8</v>
      </c>
    </row>
    <row r="1072" spans="1:3" x14ac:dyDescent="0.5">
      <c r="A1072" s="1" t="s">
        <v>571</v>
      </c>
      <c r="B1072" s="1">
        <v>13</v>
      </c>
      <c r="C1072" s="1">
        <v>89</v>
      </c>
    </row>
    <row r="1073" spans="1:3" x14ac:dyDescent="0.5">
      <c r="A1073" s="1" t="s">
        <v>18</v>
      </c>
      <c r="B1073" s="1">
        <v>13</v>
      </c>
      <c r="C1073" s="1">
        <v>89</v>
      </c>
    </row>
    <row r="1074" spans="1:3" x14ac:dyDescent="0.5">
      <c r="A1074" s="1" t="s">
        <v>682</v>
      </c>
      <c r="B1074" s="1">
        <v>4</v>
      </c>
      <c r="C1074" s="1">
        <v>62788</v>
      </c>
    </row>
    <row r="1075" spans="1:3" x14ac:dyDescent="0.5">
      <c r="A1075" s="1" t="s">
        <v>782</v>
      </c>
      <c r="B1075" s="1">
        <v>4</v>
      </c>
      <c r="C1075" s="1">
        <v>62788</v>
      </c>
    </row>
    <row r="1076" spans="1:3" x14ac:dyDescent="0.5">
      <c r="A1076" s="1" t="s">
        <v>775</v>
      </c>
      <c r="B1076" s="1">
        <v>10</v>
      </c>
      <c r="C1076" s="1">
        <v>165</v>
      </c>
    </row>
    <row r="1077" spans="1:3" x14ac:dyDescent="0.5">
      <c r="A1077" s="1" t="s">
        <v>39</v>
      </c>
      <c r="B1077" s="1">
        <v>10</v>
      </c>
      <c r="C1077" s="1">
        <v>165</v>
      </c>
    </row>
    <row r="1078" spans="1:3" x14ac:dyDescent="0.5">
      <c r="A1078" s="1" t="s">
        <v>525</v>
      </c>
      <c r="B1078" s="1">
        <v>11</v>
      </c>
      <c r="C1078" s="1">
        <v>221</v>
      </c>
    </row>
    <row r="1079" spans="1:3" x14ac:dyDescent="0.5">
      <c r="A1079" s="1" t="s">
        <v>18</v>
      </c>
      <c r="B1079" s="1">
        <v>11</v>
      </c>
      <c r="C1079" s="1">
        <v>221</v>
      </c>
    </row>
    <row r="1080" spans="1:3" x14ac:dyDescent="0.5">
      <c r="A1080" s="1" t="s">
        <v>467</v>
      </c>
      <c r="B1080" s="1">
        <v>22</v>
      </c>
      <c r="C1080" s="1">
        <v>17</v>
      </c>
    </row>
    <row r="1081" spans="1:3" x14ac:dyDescent="0.5">
      <c r="A1081" s="1" t="s">
        <v>18</v>
      </c>
      <c r="B1081" s="1">
        <v>22</v>
      </c>
      <c r="C1081" s="1">
        <v>17</v>
      </c>
    </row>
    <row r="1082" spans="1:3" x14ac:dyDescent="0.5">
      <c r="A1082" s="1" t="s">
        <v>77</v>
      </c>
      <c r="B1082" s="1">
        <v>9</v>
      </c>
      <c r="C1082" s="1">
        <v>35</v>
      </c>
    </row>
    <row r="1083" spans="1:3" x14ac:dyDescent="0.5">
      <c r="A1083" s="1" t="s">
        <v>60</v>
      </c>
      <c r="B1083" s="1">
        <v>9</v>
      </c>
      <c r="C1083" s="1">
        <v>35</v>
      </c>
    </row>
    <row r="1084" spans="1:3" x14ac:dyDescent="0.5">
      <c r="A1084" s="1" t="s">
        <v>129</v>
      </c>
      <c r="B1084" s="1">
        <v>8</v>
      </c>
      <c r="C1084" s="1">
        <v>61</v>
      </c>
    </row>
    <row r="1085" spans="1:3" x14ac:dyDescent="0.5">
      <c r="A1085" s="1" t="s">
        <v>33</v>
      </c>
      <c r="B1085" s="1">
        <v>8</v>
      </c>
      <c r="C1085" s="1">
        <v>61</v>
      </c>
    </row>
    <row r="1086" spans="1:3" x14ac:dyDescent="0.5">
      <c r="A1086" s="1" t="s">
        <v>25</v>
      </c>
      <c r="B1086" s="1">
        <v>3</v>
      </c>
      <c r="C1086" s="1">
        <v>121181</v>
      </c>
    </row>
    <row r="1087" spans="1:3" x14ac:dyDescent="0.5">
      <c r="A1087" s="1" t="s">
        <v>12</v>
      </c>
      <c r="B1087" s="1">
        <v>3</v>
      </c>
      <c r="C1087" s="1">
        <v>121181</v>
      </c>
    </row>
    <row r="1088" spans="1:3" x14ac:dyDescent="0.5">
      <c r="A1088" s="1" t="s">
        <v>710</v>
      </c>
      <c r="B1088" s="1">
        <v>12</v>
      </c>
      <c r="C1088" s="1">
        <v>35</v>
      </c>
    </row>
    <row r="1089" spans="1:3" x14ac:dyDescent="0.5">
      <c r="A1089" s="1" t="s">
        <v>57</v>
      </c>
      <c r="B1089" s="1">
        <v>12</v>
      </c>
      <c r="C1089" s="1">
        <v>35</v>
      </c>
    </row>
    <row r="1090" spans="1:3" x14ac:dyDescent="0.5">
      <c r="A1090" s="1" t="s">
        <v>78</v>
      </c>
      <c r="B1090" s="1">
        <v>10</v>
      </c>
      <c r="C1090" s="1">
        <v>133</v>
      </c>
    </row>
    <row r="1091" spans="1:3" x14ac:dyDescent="0.5">
      <c r="A1091" s="1" t="s">
        <v>79</v>
      </c>
      <c r="B1091" s="1">
        <v>10</v>
      </c>
      <c r="C1091" s="1">
        <v>133</v>
      </c>
    </row>
    <row r="1092" spans="1:3" x14ac:dyDescent="0.5">
      <c r="A1092" s="1" t="s">
        <v>130</v>
      </c>
      <c r="B1092" s="1">
        <v>9</v>
      </c>
      <c r="C1092" s="1">
        <v>84</v>
      </c>
    </row>
    <row r="1093" spans="1:3" x14ac:dyDescent="0.5">
      <c r="A1093" s="1" t="s">
        <v>63</v>
      </c>
      <c r="B1093" s="1">
        <v>9</v>
      </c>
      <c r="C1093" s="1">
        <v>84</v>
      </c>
    </row>
    <row r="1094" spans="1:3" x14ac:dyDescent="0.5">
      <c r="A1094" s="1" t="s">
        <v>460</v>
      </c>
      <c r="B1094" s="1">
        <v>15</v>
      </c>
      <c r="C1094" s="1">
        <v>30</v>
      </c>
    </row>
    <row r="1095" spans="1:3" x14ac:dyDescent="0.5">
      <c r="A1095" s="1" t="s">
        <v>33</v>
      </c>
      <c r="B1095" s="1">
        <v>15</v>
      </c>
      <c r="C1095" s="1">
        <v>30</v>
      </c>
    </row>
    <row r="1096" spans="1:3" x14ac:dyDescent="0.5">
      <c r="A1096" s="1" t="s">
        <v>461</v>
      </c>
      <c r="B1096" s="1">
        <v>16</v>
      </c>
      <c r="C1096" s="1">
        <v>53</v>
      </c>
    </row>
    <row r="1097" spans="1:3" x14ac:dyDescent="0.5">
      <c r="A1097" s="1" t="s">
        <v>238</v>
      </c>
      <c r="B1097" s="1">
        <v>16</v>
      </c>
      <c r="C1097" s="1">
        <v>53</v>
      </c>
    </row>
    <row r="1098" spans="1:3" x14ac:dyDescent="0.5">
      <c r="A1098" s="1" t="s">
        <v>501</v>
      </c>
      <c r="B1098" s="1">
        <v>9</v>
      </c>
      <c r="C1098" s="1">
        <v>35</v>
      </c>
    </row>
    <row r="1099" spans="1:3" x14ac:dyDescent="0.5">
      <c r="A1099" s="1" t="s">
        <v>143</v>
      </c>
      <c r="B1099" s="1">
        <v>9</v>
      </c>
      <c r="C1099" s="1">
        <v>35</v>
      </c>
    </row>
    <row r="1100" spans="1:3" x14ac:dyDescent="0.5">
      <c r="A1100" s="1" t="s">
        <v>619</v>
      </c>
      <c r="B1100" s="1">
        <v>9</v>
      </c>
      <c r="C1100" s="1">
        <v>55130</v>
      </c>
    </row>
    <row r="1101" spans="1:3" x14ac:dyDescent="0.5">
      <c r="A1101" s="1" t="s">
        <v>12</v>
      </c>
      <c r="B1101" s="1">
        <v>3</v>
      </c>
      <c r="C1101" s="1">
        <v>54994</v>
      </c>
    </row>
    <row r="1102" spans="1:3" x14ac:dyDescent="0.5">
      <c r="A1102" s="1" t="s">
        <v>126</v>
      </c>
      <c r="B1102" s="1">
        <v>6</v>
      </c>
      <c r="C1102" s="1">
        <v>136</v>
      </c>
    </row>
    <row r="1103" spans="1:3" x14ac:dyDescent="0.5">
      <c r="A1103" s="1" t="s">
        <v>698</v>
      </c>
      <c r="B1103" s="1">
        <v>10</v>
      </c>
      <c r="C1103" s="1">
        <v>163</v>
      </c>
    </row>
    <row r="1104" spans="1:3" x14ac:dyDescent="0.5">
      <c r="A1104" s="1" t="s">
        <v>699</v>
      </c>
      <c r="B1104" s="1">
        <v>10</v>
      </c>
      <c r="C1104" s="1">
        <v>163</v>
      </c>
    </row>
    <row r="1105" spans="1:3" x14ac:dyDescent="0.5">
      <c r="A1105" s="1" t="s">
        <v>204</v>
      </c>
      <c r="B1105" s="1">
        <v>4</v>
      </c>
      <c r="C1105" s="1">
        <v>6897</v>
      </c>
    </row>
    <row r="1106" spans="1:3" x14ac:dyDescent="0.5">
      <c r="A1106" s="1" t="s">
        <v>9</v>
      </c>
      <c r="B1106" s="1">
        <v>4</v>
      </c>
      <c r="C1106" s="1">
        <v>6897</v>
      </c>
    </row>
    <row r="1107" spans="1:3" x14ac:dyDescent="0.5">
      <c r="A1107" s="1" t="s">
        <v>244</v>
      </c>
      <c r="B1107" s="1">
        <v>4</v>
      </c>
      <c r="C1107" s="1">
        <v>22421</v>
      </c>
    </row>
    <row r="1108" spans="1:3" x14ac:dyDescent="0.5">
      <c r="A1108" s="1" t="s">
        <v>782</v>
      </c>
      <c r="B1108" s="1">
        <v>4</v>
      </c>
      <c r="C1108" s="1">
        <v>22421</v>
      </c>
    </row>
    <row r="1109" spans="1:3" x14ac:dyDescent="0.5">
      <c r="A1109" s="1" t="s">
        <v>599</v>
      </c>
      <c r="B1109" s="1">
        <v>4</v>
      </c>
      <c r="C1109" s="1">
        <v>756</v>
      </c>
    </row>
    <row r="1110" spans="1:3" x14ac:dyDescent="0.5">
      <c r="A1110" s="1" t="s">
        <v>23</v>
      </c>
      <c r="B1110" s="1">
        <v>4</v>
      </c>
      <c r="C1110" s="1">
        <v>756</v>
      </c>
    </row>
    <row r="1111" spans="1:3" x14ac:dyDescent="0.5">
      <c r="A1111" s="1" t="s">
        <v>558</v>
      </c>
      <c r="B1111" s="1">
        <v>6</v>
      </c>
      <c r="C1111" s="1">
        <v>171</v>
      </c>
    </row>
    <row r="1112" spans="1:3" x14ac:dyDescent="0.5">
      <c r="A1112" s="1" t="s">
        <v>474</v>
      </c>
      <c r="B1112" s="1">
        <v>6</v>
      </c>
      <c r="C1112" s="1">
        <v>171</v>
      </c>
    </row>
    <row r="1113" spans="1:3" x14ac:dyDescent="0.5">
      <c r="A1113" s="1" t="s">
        <v>194</v>
      </c>
      <c r="B1113" s="1">
        <v>2</v>
      </c>
      <c r="C1113" s="1">
        <v>5784</v>
      </c>
    </row>
    <row r="1114" spans="1:3" x14ac:dyDescent="0.5">
      <c r="A1114" s="1" t="s">
        <v>9</v>
      </c>
      <c r="B1114" s="1">
        <v>2</v>
      </c>
      <c r="C1114" s="1">
        <v>5784</v>
      </c>
    </row>
    <row r="1115" spans="1:3" x14ac:dyDescent="0.5">
      <c r="A1115" s="1" t="s">
        <v>487</v>
      </c>
      <c r="B1115" s="1">
        <v>3</v>
      </c>
      <c r="C1115" s="1">
        <v>39564</v>
      </c>
    </row>
    <row r="1116" spans="1:3" x14ac:dyDescent="0.5">
      <c r="A1116" s="1" t="s">
        <v>782</v>
      </c>
      <c r="B1116" s="1">
        <v>3</v>
      </c>
      <c r="C1116" s="1">
        <v>39564</v>
      </c>
    </row>
    <row r="1117" spans="1:3" x14ac:dyDescent="0.5">
      <c r="A1117" s="1" t="s">
        <v>552</v>
      </c>
      <c r="B1117" s="1">
        <v>11</v>
      </c>
      <c r="C1117" s="1">
        <v>61</v>
      </c>
    </row>
    <row r="1118" spans="1:3" x14ac:dyDescent="0.5">
      <c r="A1118" s="1" t="s">
        <v>18</v>
      </c>
      <c r="B1118" s="1">
        <v>11</v>
      </c>
      <c r="C1118" s="1">
        <v>61</v>
      </c>
    </row>
    <row r="1119" spans="1:3" x14ac:dyDescent="0.5">
      <c r="A1119" s="1" t="s">
        <v>195</v>
      </c>
      <c r="B1119" s="1">
        <v>3</v>
      </c>
      <c r="C1119" s="1">
        <v>35871</v>
      </c>
    </row>
    <row r="1120" spans="1:3" x14ac:dyDescent="0.5">
      <c r="A1120" s="1" t="s">
        <v>12</v>
      </c>
      <c r="B1120" s="1">
        <v>3</v>
      </c>
      <c r="C1120" s="1">
        <v>35871</v>
      </c>
    </row>
    <row r="1121" spans="1:3" x14ac:dyDescent="0.5">
      <c r="A1121" s="1" t="s">
        <v>556</v>
      </c>
      <c r="B1121" s="1">
        <v>4</v>
      </c>
      <c r="C1121" s="1">
        <v>46406</v>
      </c>
    </row>
    <row r="1122" spans="1:3" x14ac:dyDescent="0.5">
      <c r="A1122" s="1" t="s">
        <v>12</v>
      </c>
      <c r="B1122" s="1">
        <v>4</v>
      </c>
      <c r="C1122" s="1">
        <v>46406</v>
      </c>
    </row>
    <row r="1123" spans="1:3" x14ac:dyDescent="0.5">
      <c r="A1123" s="1" t="s">
        <v>192</v>
      </c>
      <c r="B1123" s="1">
        <v>9</v>
      </c>
      <c r="C1123" s="1">
        <v>358</v>
      </c>
    </row>
    <row r="1124" spans="1:3" x14ac:dyDescent="0.5">
      <c r="A1124" s="1" t="s">
        <v>18</v>
      </c>
      <c r="B1124" s="1">
        <v>9</v>
      </c>
      <c r="C1124" s="1">
        <v>358</v>
      </c>
    </row>
    <row r="1125" spans="1:3" x14ac:dyDescent="0.5">
      <c r="A1125" s="1" t="s">
        <v>774</v>
      </c>
      <c r="B1125" s="1">
        <v>9</v>
      </c>
      <c r="C1125" s="1">
        <v>128</v>
      </c>
    </row>
    <row r="1126" spans="1:3" x14ac:dyDescent="0.5">
      <c r="A1126" s="1" t="s">
        <v>60</v>
      </c>
      <c r="B1126" s="1">
        <v>9</v>
      </c>
      <c r="C1126" s="1">
        <v>128</v>
      </c>
    </row>
    <row r="1127" spans="1:3" x14ac:dyDescent="0.5">
      <c r="A1127" s="1" t="s">
        <v>537</v>
      </c>
      <c r="B1127" s="1">
        <v>4</v>
      </c>
      <c r="C1127" s="1">
        <v>397</v>
      </c>
    </row>
    <row r="1128" spans="1:3" x14ac:dyDescent="0.5">
      <c r="A1128" s="1" t="s">
        <v>23</v>
      </c>
      <c r="B1128" s="1">
        <v>4</v>
      </c>
      <c r="C1128" s="1">
        <v>397</v>
      </c>
    </row>
    <row r="1129" spans="1:3" x14ac:dyDescent="0.5">
      <c r="A1129" s="1" t="s">
        <v>718</v>
      </c>
      <c r="B1129" s="1">
        <v>6</v>
      </c>
      <c r="C1129" s="1">
        <v>177</v>
      </c>
    </row>
    <row r="1130" spans="1:3" x14ac:dyDescent="0.5">
      <c r="A1130" s="1" t="s">
        <v>719</v>
      </c>
      <c r="B1130" s="1">
        <v>6</v>
      </c>
      <c r="C1130" s="1">
        <v>177</v>
      </c>
    </row>
    <row r="1131" spans="1:3" x14ac:dyDescent="0.5">
      <c r="A1131" s="1" t="s">
        <v>228</v>
      </c>
      <c r="B1131" s="1">
        <v>3</v>
      </c>
      <c r="C1131" s="1">
        <v>709</v>
      </c>
    </row>
    <row r="1132" spans="1:3" x14ac:dyDescent="0.5">
      <c r="A1132" s="1" t="s">
        <v>23</v>
      </c>
      <c r="B1132" s="1">
        <v>3</v>
      </c>
      <c r="C1132" s="1">
        <v>709</v>
      </c>
    </row>
    <row r="1133" spans="1:3" x14ac:dyDescent="0.5">
      <c r="A1133" s="1" t="s">
        <v>42</v>
      </c>
      <c r="B1133" s="1">
        <v>12</v>
      </c>
      <c r="C1133" s="1">
        <v>100580</v>
      </c>
    </row>
    <row r="1134" spans="1:3" x14ac:dyDescent="0.5">
      <c r="A1134" s="1" t="s">
        <v>43</v>
      </c>
      <c r="B1134" s="1">
        <v>12</v>
      </c>
      <c r="C1134" s="1">
        <v>100580</v>
      </c>
    </row>
    <row r="1135" spans="1:3" x14ac:dyDescent="0.5">
      <c r="A1135" s="1" t="s">
        <v>11</v>
      </c>
      <c r="B1135" s="1">
        <v>3</v>
      </c>
      <c r="C1135" s="1">
        <v>78619</v>
      </c>
    </row>
    <row r="1136" spans="1:3" x14ac:dyDescent="0.5">
      <c r="A1136" s="1" t="s">
        <v>12</v>
      </c>
      <c r="B1136" s="1">
        <v>3</v>
      </c>
      <c r="C1136" s="1">
        <v>78619</v>
      </c>
    </row>
    <row r="1137" spans="1:3" x14ac:dyDescent="0.5">
      <c r="A1137" s="1" t="s">
        <v>357</v>
      </c>
      <c r="B1137" s="1">
        <v>10</v>
      </c>
      <c r="C1137" s="1">
        <v>420</v>
      </c>
    </row>
    <row r="1138" spans="1:3" x14ac:dyDescent="0.5">
      <c r="A1138" s="1" t="s">
        <v>91</v>
      </c>
      <c r="B1138" s="1">
        <v>10</v>
      </c>
      <c r="C1138" s="1">
        <v>420</v>
      </c>
    </row>
    <row r="1139" spans="1:3" x14ac:dyDescent="0.5">
      <c r="A1139" s="1" t="s">
        <v>513</v>
      </c>
      <c r="B1139" s="1">
        <v>7</v>
      </c>
      <c r="C1139" s="1">
        <v>140</v>
      </c>
    </row>
    <row r="1140" spans="1:3" x14ac:dyDescent="0.5">
      <c r="A1140" s="1" t="s">
        <v>33</v>
      </c>
      <c r="B1140" s="1">
        <v>7</v>
      </c>
      <c r="C1140" s="1">
        <v>140</v>
      </c>
    </row>
    <row r="1141" spans="1:3" x14ac:dyDescent="0.5">
      <c r="A1141" s="1" t="s">
        <v>305</v>
      </c>
      <c r="B1141" s="1">
        <v>4</v>
      </c>
      <c r="C1141" s="1">
        <v>288</v>
      </c>
    </row>
    <row r="1142" spans="1:3" x14ac:dyDescent="0.5">
      <c r="A1142" s="1" t="s">
        <v>23</v>
      </c>
      <c r="B1142" s="1">
        <v>4</v>
      </c>
      <c r="C1142" s="1">
        <v>288</v>
      </c>
    </row>
    <row r="1143" spans="1:3" x14ac:dyDescent="0.5">
      <c r="A1143" s="1" t="s">
        <v>212</v>
      </c>
      <c r="B1143" s="1">
        <v>7</v>
      </c>
      <c r="C1143" s="1">
        <v>63</v>
      </c>
    </row>
    <row r="1144" spans="1:3" x14ac:dyDescent="0.5">
      <c r="A1144" s="1" t="s">
        <v>213</v>
      </c>
      <c r="B1144" s="1">
        <v>7</v>
      </c>
      <c r="C1144" s="1">
        <v>63</v>
      </c>
    </row>
    <row r="1145" spans="1:3" x14ac:dyDescent="0.5">
      <c r="A1145" s="1" t="s">
        <v>612</v>
      </c>
      <c r="B1145" s="1">
        <v>13</v>
      </c>
      <c r="C1145" s="1">
        <v>270</v>
      </c>
    </row>
    <row r="1146" spans="1:3" x14ac:dyDescent="0.5">
      <c r="A1146" s="1" t="s">
        <v>18</v>
      </c>
      <c r="B1146" s="1">
        <v>13</v>
      </c>
      <c r="C1146" s="1">
        <v>270</v>
      </c>
    </row>
    <row r="1147" spans="1:3" x14ac:dyDescent="0.5">
      <c r="A1147" s="1" t="s">
        <v>358</v>
      </c>
      <c r="B1147" s="1">
        <v>11</v>
      </c>
      <c r="C1147" s="1">
        <v>687</v>
      </c>
    </row>
    <row r="1148" spans="1:3" x14ac:dyDescent="0.5">
      <c r="A1148" s="1" t="s">
        <v>79</v>
      </c>
      <c r="B1148" s="1">
        <v>11</v>
      </c>
      <c r="C1148" s="1">
        <v>687</v>
      </c>
    </row>
    <row r="1149" spans="1:3" x14ac:dyDescent="0.5">
      <c r="A1149" s="1" t="s">
        <v>610</v>
      </c>
      <c r="B1149" s="1">
        <v>12</v>
      </c>
      <c r="C1149" s="1">
        <v>290</v>
      </c>
    </row>
    <row r="1150" spans="1:3" x14ac:dyDescent="0.5">
      <c r="A1150" s="1" t="s">
        <v>611</v>
      </c>
      <c r="B1150" s="1">
        <v>12</v>
      </c>
      <c r="C1150" s="1">
        <v>290</v>
      </c>
    </row>
    <row r="1151" spans="1:3" x14ac:dyDescent="0.5">
      <c r="A1151" s="1" t="s">
        <v>608</v>
      </c>
      <c r="B1151" s="1">
        <v>11</v>
      </c>
      <c r="C1151" s="1">
        <v>39558</v>
      </c>
    </row>
    <row r="1152" spans="1:3" x14ac:dyDescent="0.5">
      <c r="A1152" s="1" t="s">
        <v>609</v>
      </c>
      <c r="B1152" s="1">
        <v>11</v>
      </c>
      <c r="C1152" s="1">
        <v>39558</v>
      </c>
    </row>
    <row r="1153" spans="1:3" x14ac:dyDescent="0.5">
      <c r="A1153" s="1" t="s">
        <v>555</v>
      </c>
      <c r="B1153" s="1">
        <v>3</v>
      </c>
      <c r="C1153" s="1">
        <v>49594</v>
      </c>
    </row>
    <row r="1154" spans="1:3" x14ac:dyDescent="0.5">
      <c r="A1154" s="1" t="s">
        <v>782</v>
      </c>
      <c r="B1154" s="1">
        <v>3</v>
      </c>
      <c r="C1154" s="1">
        <v>49594</v>
      </c>
    </row>
    <row r="1155" spans="1:3" x14ac:dyDescent="0.5">
      <c r="A1155" s="1" t="s">
        <v>272</v>
      </c>
      <c r="B1155" s="1">
        <v>5</v>
      </c>
      <c r="C1155" s="1">
        <v>116</v>
      </c>
    </row>
    <row r="1156" spans="1:3" x14ac:dyDescent="0.5">
      <c r="A1156" s="1" t="s">
        <v>273</v>
      </c>
      <c r="B1156" s="1">
        <v>5</v>
      </c>
      <c r="C1156" s="1">
        <v>116</v>
      </c>
    </row>
    <row r="1157" spans="1:3" x14ac:dyDescent="0.5">
      <c r="A1157" s="1" t="s">
        <v>740</v>
      </c>
      <c r="B1157" s="1">
        <v>7</v>
      </c>
      <c r="C1157" s="1">
        <v>89</v>
      </c>
    </row>
    <row r="1158" spans="1:3" x14ac:dyDescent="0.5">
      <c r="A1158" s="1" t="s">
        <v>35</v>
      </c>
      <c r="B1158" s="1">
        <v>7</v>
      </c>
      <c r="C1158" s="1">
        <v>89</v>
      </c>
    </row>
    <row r="1159" spans="1:3" x14ac:dyDescent="0.5">
      <c r="A1159" s="1" t="s">
        <v>438</v>
      </c>
      <c r="B1159" s="1">
        <v>4</v>
      </c>
      <c r="C1159" s="1">
        <v>150</v>
      </c>
    </row>
    <row r="1160" spans="1:3" x14ac:dyDescent="0.5">
      <c r="A1160" s="1" t="s">
        <v>23</v>
      </c>
      <c r="B1160" s="1">
        <v>4</v>
      </c>
      <c r="C1160" s="1">
        <v>150</v>
      </c>
    </row>
    <row r="1161" spans="1:3" x14ac:dyDescent="0.5">
      <c r="A1161" s="1" t="s">
        <v>68</v>
      </c>
      <c r="B1161" s="1">
        <v>4</v>
      </c>
      <c r="C1161" s="1">
        <v>5460</v>
      </c>
    </row>
    <row r="1162" spans="1:3" x14ac:dyDescent="0.5">
      <c r="A1162" s="1" t="s">
        <v>9</v>
      </c>
      <c r="B1162" s="1">
        <v>4</v>
      </c>
      <c r="C1162" s="1">
        <v>5460</v>
      </c>
    </row>
    <row r="1163" spans="1:3" x14ac:dyDescent="0.5">
      <c r="A1163" s="1" t="s">
        <v>281</v>
      </c>
      <c r="B1163" s="1">
        <v>3</v>
      </c>
      <c r="C1163" s="1">
        <v>45908</v>
      </c>
    </row>
    <row r="1164" spans="1:3" x14ac:dyDescent="0.5">
      <c r="A1164" s="1" t="s">
        <v>12</v>
      </c>
      <c r="B1164" s="1">
        <v>3</v>
      </c>
      <c r="C1164" s="1">
        <v>45908</v>
      </c>
    </row>
    <row r="1165" spans="1:3" x14ac:dyDescent="0.5">
      <c r="A1165" s="1" t="s">
        <v>733</v>
      </c>
      <c r="B1165" s="1">
        <v>8</v>
      </c>
      <c r="C1165" s="1">
        <v>84</v>
      </c>
    </row>
    <row r="1166" spans="1:3" x14ac:dyDescent="0.5">
      <c r="A1166" s="1" t="s">
        <v>33</v>
      </c>
      <c r="B1166" s="1">
        <v>8</v>
      </c>
      <c r="C1166" s="1">
        <v>84</v>
      </c>
    </row>
    <row r="1167" spans="1:3" x14ac:dyDescent="0.5">
      <c r="A1167" s="1" t="s">
        <v>324</v>
      </c>
      <c r="B1167" s="1">
        <v>4</v>
      </c>
      <c r="C1167" s="1">
        <v>40478</v>
      </c>
    </row>
    <row r="1168" spans="1:3" x14ac:dyDescent="0.5">
      <c r="A1168" s="1" t="s">
        <v>782</v>
      </c>
      <c r="B1168" s="1">
        <v>4</v>
      </c>
      <c r="C1168" s="1">
        <v>40478</v>
      </c>
    </row>
    <row r="1169" spans="1:3" x14ac:dyDescent="0.5">
      <c r="A1169" s="1" t="s">
        <v>326</v>
      </c>
      <c r="B1169" s="1">
        <v>6</v>
      </c>
      <c r="C1169" s="1">
        <v>145</v>
      </c>
    </row>
    <row r="1170" spans="1:3" x14ac:dyDescent="0.5">
      <c r="A1170" s="1" t="s">
        <v>18</v>
      </c>
      <c r="B1170" s="1">
        <v>6</v>
      </c>
      <c r="C1170" s="1">
        <v>145</v>
      </c>
    </row>
    <row r="1171" spans="1:3" x14ac:dyDescent="0.5">
      <c r="A1171" s="1" t="s">
        <v>368</v>
      </c>
      <c r="B1171" s="1">
        <v>7</v>
      </c>
      <c r="C1171" s="1">
        <v>168</v>
      </c>
    </row>
    <row r="1172" spans="1:3" x14ac:dyDescent="0.5">
      <c r="A1172" s="1" t="s">
        <v>369</v>
      </c>
      <c r="B1172" s="1">
        <v>7</v>
      </c>
      <c r="C1172" s="1">
        <v>168</v>
      </c>
    </row>
    <row r="1173" spans="1:3" x14ac:dyDescent="0.5">
      <c r="A1173" s="1" t="s">
        <v>186</v>
      </c>
      <c r="B1173" s="1">
        <v>4</v>
      </c>
      <c r="C1173" s="1">
        <v>411</v>
      </c>
    </row>
    <row r="1174" spans="1:3" x14ac:dyDescent="0.5">
      <c r="A1174" s="1" t="s">
        <v>23</v>
      </c>
      <c r="B1174" s="1">
        <v>4</v>
      </c>
      <c r="C1174" s="1">
        <v>411</v>
      </c>
    </row>
    <row r="1175" spans="1:3" x14ac:dyDescent="0.5">
      <c r="A1175" s="1" t="s">
        <v>313</v>
      </c>
      <c r="B1175" s="1">
        <v>3</v>
      </c>
      <c r="C1175" s="1">
        <v>50179</v>
      </c>
    </row>
    <row r="1176" spans="1:3" x14ac:dyDescent="0.5">
      <c r="A1176" s="1" t="s">
        <v>782</v>
      </c>
      <c r="B1176" s="1">
        <v>3</v>
      </c>
      <c r="C1176" s="1">
        <v>50179</v>
      </c>
    </row>
    <row r="1177" spans="1:3" x14ac:dyDescent="0.5">
      <c r="A1177" s="1" t="s">
        <v>548</v>
      </c>
      <c r="B1177" s="1">
        <v>7</v>
      </c>
      <c r="C1177" s="1">
        <v>83</v>
      </c>
    </row>
    <row r="1178" spans="1:3" x14ac:dyDescent="0.5">
      <c r="A1178" s="1" t="s">
        <v>16</v>
      </c>
      <c r="B1178" s="1">
        <v>7</v>
      </c>
      <c r="C1178" s="1">
        <v>83</v>
      </c>
    </row>
    <row r="1179" spans="1:3" x14ac:dyDescent="0.5">
      <c r="A1179" s="1" t="s">
        <v>229</v>
      </c>
      <c r="B1179" s="1">
        <v>4</v>
      </c>
      <c r="C1179" s="1">
        <v>56177</v>
      </c>
    </row>
    <row r="1180" spans="1:3" x14ac:dyDescent="0.5">
      <c r="A1180" s="1" t="s">
        <v>12</v>
      </c>
      <c r="B1180" s="1">
        <v>4</v>
      </c>
      <c r="C1180" s="1">
        <v>56177</v>
      </c>
    </row>
    <row r="1181" spans="1:3" x14ac:dyDescent="0.5">
      <c r="A1181" s="1" t="s">
        <v>421</v>
      </c>
      <c r="B1181" s="1">
        <v>12</v>
      </c>
      <c r="C1181" s="1">
        <v>92</v>
      </c>
    </row>
    <row r="1182" spans="1:3" x14ac:dyDescent="0.5">
      <c r="A1182" s="1" t="s">
        <v>18</v>
      </c>
      <c r="B1182" s="1">
        <v>12</v>
      </c>
      <c r="C1182" s="1">
        <v>92</v>
      </c>
    </row>
    <row r="1183" spans="1:3" x14ac:dyDescent="0.5">
      <c r="A1183" s="1" t="s">
        <v>488</v>
      </c>
      <c r="B1183" s="1">
        <v>4</v>
      </c>
      <c r="C1183" s="1">
        <v>37433</v>
      </c>
    </row>
    <row r="1184" spans="1:3" x14ac:dyDescent="0.5">
      <c r="A1184" s="1" t="s">
        <v>12</v>
      </c>
      <c r="B1184" s="1">
        <v>4</v>
      </c>
      <c r="C1184" s="1">
        <v>37433</v>
      </c>
    </row>
    <row r="1185" spans="1:3" x14ac:dyDescent="0.5">
      <c r="A1185" s="1" t="s">
        <v>261</v>
      </c>
      <c r="B1185" s="1">
        <v>3</v>
      </c>
      <c r="C1185" s="1">
        <v>190</v>
      </c>
    </row>
    <row r="1186" spans="1:3" x14ac:dyDescent="0.5">
      <c r="A1186" s="1" t="s">
        <v>23</v>
      </c>
      <c r="B1186" s="1">
        <v>3</v>
      </c>
      <c r="C1186" s="1">
        <v>190</v>
      </c>
    </row>
    <row r="1187" spans="1:3" x14ac:dyDescent="0.5">
      <c r="A1187" s="1" t="s">
        <v>46</v>
      </c>
      <c r="B1187" s="1">
        <v>14</v>
      </c>
      <c r="C1187" s="1">
        <v>739</v>
      </c>
    </row>
    <row r="1188" spans="1:3" x14ac:dyDescent="0.5">
      <c r="A1188" s="1" t="s">
        <v>47</v>
      </c>
      <c r="B1188" s="1">
        <v>14</v>
      </c>
      <c r="C1188" s="1">
        <v>739</v>
      </c>
    </row>
    <row r="1189" spans="1:3" x14ac:dyDescent="0.5">
      <c r="A1189" s="1" t="s">
        <v>205</v>
      </c>
      <c r="B1189" s="1">
        <v>5</v>
      </c>
      <c r="C1189" s="1">
        <v>181</v>
      </c>
    </row>
    <row r="1190" spans="1:3" x14ac:dyDescent="0.5">
      <c r="A1190" s="1" t="s">
        <v>106</v>
      </c>
      <c r="B1190" s="1">
        <v>5</v>
      </c>
      <c r="C1190" s="1">
        <v>181</v>
      </c>
    </row>
    <row r="1191" spans="1:3" x14ac:dyDescent="0.5">
      <c r="A1191" s="1" t="s">
        <v>708</v>
      </c>
      <c r="B1191" s="1">
        <v>10</v>
      </c>
      <c r="C1191" s="1">
        <v>30</v>
      </c>
    </row>
    <row r="1192" spans="1:3" x14ac:dyDescent="0.5">
      <c r="A1192" s="1" t="s">
        <v>474</v>
      </c>
      <c r="B1192" s="1">
        <v>10</v>
      </c>
      <c r="C1192" s="1">
        <v>30</v>
      </c>
    </row>
    <row r="1193" spans="1:3" x14ac:dyDescent="0.5">
      <c r="A1193" s="1" t="s">
        <v>142</v>
      </c>
      <c r="B1193" s="1">
        <v>7</v>
      </c>
      <c r="C1193" s="1">
        <v>212</v>
      </c>
    </row>
    <row r="1194" spans="1:3" x14ac:dyDescent="0.5">
      <c r="A1194" s="1" t="s">
        <v>143</v>
      </c>
      <c r="B1194" s="1">
        <v>7</v>
      </c>
      <c r="C1194" s="1">
        <v>212</v>
      </c>
    </row>
    <row r="1195" spans="1:3" x14ac:dyDescent="0.5">
      <c r="A1195" s="1" t="s">
        <v>549</v>
      </c>
      <c r="B1195" s="1">
        <v>8</v>
      </c>
      <c r="C1195" s="1">
        <v>143</v>
      </c>
    </row>
    <row r="1196" spans="1:3" x14ac:dyDescent="0.5">
      <c r="A1196" s="1" t="s">
        <v>511</v>
      </c>
      <c r="B1196" s="1">
        <v>8</v>
      </c>
      <c r="C1196" s="1">
        <v>143</v>
      </c>
    </row>
    <row r="1197" spans="1:3" x14ac:dyDescent="0.5">
      <c r="A1197" s="1" t="s">
        <v>122</v>
      </c>
      <c r="B1197" s="1">
        <v>4</v>
      </c>
      <c r="C1197" s="1">
        <v>548</v>
      </c>
    </row>
    <row r="1198" spans="1:3" x14ac:dyDescent="0.5">
      <c r="A1198" s="1" t="s">
        <v>23</v>
      </c>
      <c r="B1198" s="1">
        <v>4</v>
      </c>
      <c r="C1198" s="1">
        <v>548</v>
      </c>
    </row>
    <row r="1199" spans="1:3" x14ac:dyDescent="0.5">
      <c r="A1199" s="1" t="s">
        <v>720</v>
      </c>
      <c r="B1199" s="1">
        <v>7</v>
      </c>
      <c r="C1199" s="1">
        <v>50</v>
      </c>
    </row>
    <row r="1200" spans="1:3" x14ac:dyDescent="0.5">
      <c r="A1200" s="1" t="s">
        <v>309</v>
      </c>
      <c r="B1200" s="1">
        <v>7</v>
      </c>
      <c r="C1200" s="1">
        <v>50</v>
      </c>
    </row>
    <row r="1201" spans="1:3" x14ac:dyDescent="0.5">
      <c r="A1201" s="1" t="s">
        <v>177</v>
      </c>
      <c r="B1201" s="1">
        <v>3</v>
      </c>
      <c r="C1201" s="1">
        <v>3765</v>
      </c>
    </row>
    <row r="1202" spans="1:3" x14ac:dyDescent="0.5">
      <c r="A1202" s="1" t="s">
        <v>9</v>
      </c>
      <c r="B1202" s="1">
        <v>3</v>
      </c>
      <c r="C1202" s="1">
        <v>3765</v>
      </c>
    </row>
    <row r="1203" spans="1:3" x14ac:dyDescent="0.5">
      <c r="A1203" s="1" t="s">
        <v>389</v>
      </c>
      <c r="B1203" s="1">
        <v>3</v>
      </c>
      <c r="C1203" s="1">
        <v>117572</v>
      </c>
    </row>
    <row r="1204" spans="1:3" x14ac:dyDescent="0.5">
      <c r="A1204" s="1" t="s">
        <v>12</v>
      </c>
      <c r="B1204" s="1">
        <v>3</v>
      </c>
      <c r="C1204" s="1">
        <v>117572</v>
      </c>
    </row>
    <row r="1205" spans="1:3" x14ac:dyDescent="0.5">
      <c r="A1205" s="1" t="s">
        <v>640</v>
      </c>
      <c r="B1205" s="1">
        <v>4</v>
      </c>
      <c r="C1205" s="1">
        <v>4316</v>
      </c>
    </row>
    <row r="1206" spans="1:3" x14ac:dyDescent="0.5">
      <c r="A1206" s="1" t="s">
        <v>9</v>
      </c>
      <c r="B1206" s="1">
        <v>4</v>
      </c>
      <c r="C1206" s="1">
        <v>4316</v>
      </c>
    </row>
    <row r="1207" spans="1:3" x14ac:dyDescent="0.5">
      <c r="A1207" s="1" t="s">
        <v>730</v>
      </c>
      <c r="B1207" s="1">
        <v>4</v>
      </c>
      <c r="C1207" s="1">
        <v>454</v>
      </c>
    </row>
    <row r="1208" spans="1:3" x14ac:dyDescent="0.5">
      <c r="A1208" s="1" t="s">
        <v>23</v>
      </c>
      <c r="B1208" s="1">
        <v>4</v>
      </c>
      <c r="C1208" s="1">
        <v>454</v>
      </c>
    </row>
    <row r="1209" spans="1:3" x14ac:dyDescent="0.5">
      <c r="A1209" s="1" t="s">
        <v>496</v>
      </c>
      <c r="B1209" s="1">
        <v>4</v>
      </c>
      <c r="C1209" s="1">
        <v>202</v>
      </c>
    </row>
    <row r="1210" spans="1:3" x14ac:dyDescent="0.5">
      <c r="A1210" s="1" t="s">
        <v>23</v>
      </c>
      <c r="B1210" s="1">
        <v>4</v>
      </c>
      <c r="C1210" s="1">
        <v>202</v>
      </c>
    </row>
    <row r="1211" spans="1:3" x14ac:dyDescent="0.5">
      <c r="A1211" s="1" t="s">
        <v>127</v>
      </c>
      <c r="B1211" s="1">
        <v>7</v>
      </c>
      <c r="C1211" s="1">
        <v>166</v>
      </c>
    </row>
    <row r="1212" spans="1:3" x14ac:dyDescent="0.5">
      <c r="A1212" s="1" t="s">
        <v>128</v>
      </c>
      <c r="B1212" s="1">
        <v>7</v>
      </c>
      <c r="C1212" s="1">
        <v>166</v>
      </c>
    </row>
    <row r="1213" spans="1:3" x14ac:dyDescent="0.5">
      <c r="A1213" s="1" t="s">
        <v>479</v>
      </c>
      <c r="B1213" s="1">
        <v>9</v>
      </c>
      <c r="C1213" s="1">
        <v>80</v>
      </c>
    </row>
    <row r="1214" spans="1:3" x14ac:dyDescent="0.5">
      <c r="A1214" s="1" t="s">
        <v>18</v>
      </c>
      <c r="B1214" s="1">
        <v>9</v>
      </c>
      <c r="C1214" s="1">
        <v>80</v>
      </c>
    </row>
    <row r="1215" spans="1:3" x14ac:dyDescent="0.5">
      <c r="A1215" s="1" t="s">
        <v>44</v>
      </c>
      <c r="B1215" s="1">
        <v>13</v>
      </c>
      <c r="C1215" s="1">
        <v>569</v>
      </c>
    </row>
    <row r="1216" spans="1:3" x14ac:dyDescent="0.5">
      <c r="A1216" s="1" t="s">
        <v>45</v>
      </c>
      <c r="B1216" s="1">
        <v>13</v>
      </c>
      <c r="C1216" s="1">
        <v>569</v>
      </c>
    </row>
    <row r="1217" spans="1:3" x14ac:dyDescent="0.5">
      <c r="A1217" s="1" t="s">
        <v>134</v>
      </c>
      <c r="B1217" s="1">
        <v>13</v>
      </c>
      <c r="C1217" s="1">
        <v>408</v>
      </c>
    </row>
    <row r="1218" spans="1:3" x14ac:dyDescent="0.5">
      <c r="A1218" s="1" t="s">
        <v>18</v>
      </c>
      <c r="B1218" s="1">
        <v>13</v>
      </c>
      <c r="C1218" s="1">
        <v>408</v>
      </c>
    </row>
    <row r="1219" spans="1:3" x14ac:dyDescent="0.5">
      <c r="A1219" s="1" t="s">
        <v>627</v>
      </c>
      <c r="B1219" s="1">
        <v>8</v>
      </c>
      <c r="C1219" s="1">
        <v>418</v>
      </c>
    </row>
    <row r="1220" spans="1:3" x14ac:dyDescent="0.5">
      <c r="A1220" s="1" t="s">
        <v>16</v>
      </c>
      <c r="B1220" s="1">
        <v>8</v>
      </c>
      <c r="C1220" s="1">
        <v>418</v>
      </c>
    </row>
    <row r="1221" spans="1:3" x14ac:dyDescent="0.5">
      <c r="A1221" s="1" t="s">
        <v>412</v>
      </c>
      <c r="B1221" s="1">
        <v>4</v>
      </c>
      <c r="C1221" s="1">
        <v>53675</v>
      </c>
    </row>
    <row r="1222" spans="1:3" x14ac:dyDescent="0.5">
      <c r="A1222" s="1" t="s">
        <v>12</v>
      </c>
      <c r="B1222" s="1">
        <v>4</v>
      </c>
      <c r="C1222" s="1">
        <v>53675</v>
      </c>
    </row>
    <row r="1223" spans="1:3" x14ac:dyDescent="0.5">
      <c r="A1223" s="1" t="s">
        <v>114</v>
      </c>
      <c r="B1223" s="1">
        <v>9</v>
      </c>
      <c r="C1223" s="1">
        <v>18785</v>
      </c>
    </row>
    <row r="1224" spans="1:3" x14ac:dyDescent="0.5">
      <c r="A1224" s="1" t="s">
        <v>9</v>
      </c>
      <c r="B1224" s="1">
        <v>3</v>
      </c>
      <c r="C1224" s="1">
        <v>18713</v>
      </c>
    </row>
    <row r="1225" spans="1:3" x14ac:dyDescent="0.5">
      <c r="A1225" s="1" t="s">
        <v>60</v>
      </c>
      <c r="B1225" s="1">
        <v>6</v>
      </c>
      <c r="C1225" s="1">
        <v>72</v>
      </c>
    </row>
    <row r="1226" spans="1:3" x14ac:dyDescent="0.5">
      <c r="A1226" s="1" t="s">
        <v>50</v>
      </c>
      <c r="B1226" s="1">
        <v>3</v>
      </c>
      <c r="C1226" s="1">
        <v>985</v>
      </c>
    </row>
    <row r="1227" spans="1:3" x14ac:dyDescent="0.5">
      <c r="A1227" s="1" t="s">
        <v>23</v>
      </c>
      <c r="B1227" s="1">
        <v>3</v>
      </c>
      <c r="C1227" s="1">
        <v>985</v>
      </c>
    </row>
    <row r="1228" spans="1:3" x14ac:dyDescent="0.5">
      <c r="A1228" s="1" t="s">
        <v>628</v>
      </c>
      <c r="B1228" s="1">
        <v>9</v>
      </c>
      <c r="C1228" s="1">
        <v>167</v>
      </c>
    </row>
    <row r="1229" spans="1:3" x14ac:dyDescent="0.5">
      <c r="A1229" s="1" t="s">
        <v>150</v>
      </c>
      <c r="B1229" s="1">
        <v>9</v>
      </c>
      <c r="C1229" s="1">
        <v>167</v>
      </c>
    </row>
    <row r="1230" spans="1:3" x14ac:dyDescent="0.5">
      <c r="A1230" s="1" t="s">
        <v>709</v>
      </c>
      <c r="B1230" s="1">
        <v>11</v>
      </c>
      <c r="C1230" s="1">
        <v>174</v>
      </c>
    </row>
    <row r="1231" spans="1:3" x14ac:dyDescent="0.5">
      <c r="A1231" s="1" t="s">
        <v>16</v>
      </c>
      <c r="B1231" s="1">
        <v>11</v>
      </c>
      <c r="C1231" s="1">
        <v>174</v>
      </c>
    </row>
    <row r="1232" spans="1:3" x14ac:dyDescent="0.5">
      <c r="A1232" s="1" t="s">
        <v>745</v>
      </c>
      <c r="B1232" s="1">
        <v>4</v>
      </c>
      <c r="C1232" s="1">
        <v>80504</v>
      </c>
    </row>
    <row r="1233" spans="1:3" x14ac:dyDescent="0.5">
      <c r="A1233" s="1" t="s">
        <v>12</v>
      </c>
      <c r="B1233" s="1">
        <v>4</v>
      </c>
      <c r="C1233" s="1">
        <v>80504</v>
      </c>
    </row>
    <row r="1234" spans="1:3" x14ac:dyDescent="0.5">
      <c r="A1234" s="1" t="s">
        <v>206</v>
      </c>
      <c r="B1234" s="1">
        <v>6</v>
      </c>
      <c r="C1234" s="1">
        <v>115</v>
      </c>
    </row>
    <row r="1235" spans="1:3" x14ac:dyDescent="0.5">
      <c r="A1235" s="1" t="s">
        <v>60</v>
      </c>
      <c r="B1235" s="1">
        <v>6</v>
      </c>
      <c r="C1235" s="1">
        <v>115</v>
      </c>
    </row>
    <row r="1236" spans="1:3" x14ac:dyDescent="0.5">
      <c r="A1236" s="1" t="s">
        <v>713</v>
      </c>
      <c r="B1236" s="1">
        <v>15</v>
      </c>
      <c r="C1236" s="1">
        <v>72</v>
      </c>
    </row>
    <row r="1237" spans="1:3" x14ac:dyDescent="0.5">
      <c r="A1237" s="1" t="s">
        <v>18</v>
      </c>
      <c r="B1237" s="1">
        <v>15</v>
      </c>
      <c r="C1237" s="1">
        <v>72</v>
      </c>
    </row>
    <row r="1238" spans="1:3" x14ac:dyDescent="0.5">
      <c r="A1238" s="1" t="s">
        <v>752</v>
      </c>
      <c r="B1238" s="1">
        <v>12</v>
      </c>
      <c r="C1238" s="1">
        <v>133</v>
      </c>
    </row>
    <row r="1239" spans="1:3" x14ac:dyDescent="0.5">
      <c r="A1239" s="1" t="s">
        <v>18</v>
      </c>
      <c r="B1239" s="1">
        <v>12</v>
      </c>
      <c r="C1239" s="1">
        <v>133</v>
      </c>
    </row>
    <row r="1240" spans="1:3" x14ac:dyDescent="0.5">
      <c r="A1240" s="1" t="s">
        <v>702</v>
      </c>
      <c r="B1240" s="1">
        <v>4</v>
      </c>
      <c r="C1240" s="1">
        <v>3639</v>
      </c>
    </row>
    <row r="1241" spans="1:3" x14ac:dyDescent="0.5">
      <c r="A1241" s="1" t="s">
        <v>9</v>
      </c>
      <c r="B1241" s="1">
        <v>4</v>
      </c>
      <c r="C1241" s="1">
        <v>3639</v>
      </c>
    </row>
    <row r="1242" spans="1:3" x14ac:dyDescent="0.5">
      <c r="A1242" s="1" t="s">
        <v>314</v>
      </c>
      <c r="B1242" s="1">
        <v>4</v>
      </c>
      <c r="C1242" s="1">
        <v>43547</v>
      </c>
    </row>
    <row r="1243" spans="1:3" x14ac:dyDescent="0.5">
      <c r="A1243" s="1" t="s">
        <v>12</v>
      </c>
      <c r="B1243" s="1">
        <v>4</v>
      </c>
      <c r="C1243" s="1">
        <v>43547</v>
      </c>
    </row>
    <row r="1244" spans="1:3" x14ac:dyDescent="0.5">
      <c r="A1244" s="1" t="s">
        <v>49</v>
      </c>
      <c r="B1244" s="1">
        <v>2</v>
      </c>
      <c r="C1244" s="1">
        <v>54773</v>
      </c>
    </row>
    <row r="1245" spans="1:3" x14ac:dyDescent="0.5">
      <c r="A1245" s="1" t="s">
        <v>12</v>
      </c>
      <c r="B1245" s="1">
        <v>2</v>
      </c>
      <c r="C1245" s="1">
        <v>54773</v>
      </c>
    </row>
    <row r="1246" spans="1:3" x14ac:dyDescent="0.5">
      <c r="A1246" s="1" t="s">
        <v>51</v>
      </c>
      <c r="B1246" s="1">
        <v>4</v>
      </c>
      <c r="C1246" s="1">
        <v>55941</v>
      </c>
    </row>
    <row r="1247" spans="1:3" x14ac:dyDescent="0.5">
      <c r="A1247" s="1" t="s">
        <v>782</v>
      </c>
      <c r="B1247" s="1">
        <v>4</v>
      </c>
      <c r="C1247" s="1">
        <v>55941</v>
      </c>
    </row>
    <row r="1248" spans="1:3" x14ac:dyDescent="0.5">
      <c r="A1248" s="1" t="s">
        <v>101</v>
      </c>
      <c r="B1248" s="1">
        <v>4</v>
      </c>
      <c r="C1248" s="1">
        <v>5258</v>
      </c>
    </row>
    <row r="1249" spans="1:3" x14ac:dyDescent="0.5">
      <c r="A1249" s="1" t="s">
        <v>9</v>
      </c>
      <c r="B1249" s="1">
        <v>4</v>
      </c>
      <c r="C1249" s="1">
        <v>5258</v>
      </c>
    </row>
    <row r="1250" spans="1:3" x14ac:dyDescent="0.5">
      <c r="A1250" s="1" t="s">
        <v>403</v>
      </c>
      <c r="B1250" s="1">
        <v>4</v>
      </c>
      <c r="C1250" s="1">
        <v>2902</v>
      </c>
    </row>
    <row r="1251" spans="1:3" x14ac:dyDescent="0.5">
      <c r="A1251" s="1" t="s">
        <v>9</v>
      </c>
      <c r="B1251" s="1">
        <v>4</v>
      </c>
      <c r="C1251" s="1">
        <v>2902</v>
      </c>
    </row>
    <row r="1252" spans="1:3" x14ac:dyDescent="0.5">
      <c r="A1252" s="1" t="s">
        <v>726</v>
      </c>
      <c r="B1252" s="1">
        <v>13</v>
      </c>
      <c r="C1252" s="1">
        <v>46</v>
      </c>
    </row>
    <row r="1253" spans="1:3" x14ac:dyDescent="0.5">
      <c r="A1253" s="1" t="s">
        <v>18</v>
      </c>
      <c r="B1253" s="1">
        <v>13</v>
      </c>
      <c r="C1253" s="1">
        <v>46</v>
      </c>
    </row>
    <row r="1254" spans="1:3" x14ac:dyDescent="0.5">
      <c r="A1254" s="1" t="s">
        <v>197</v>
      </c>
      <c r="B1254" s="1">
        <v>5</v>
      </c>
      <c r="C1254" s="1">
        <v>115</v>
      </c>
    </row>
    <row r="1255" spans="1:3" x14ac:dyDescent="0.5">
      <c r="A1255" s="1" t="s">
        <v>103</v>
      </c>
      <c r="B1255" s="1">
        <v>5</v>
      </c>
      <c r="C1255" s="1">
        <v>115</v>
      </c>
    </row>
    <row r="1256" spans="1:3" x14ac:dyDescent="0.5">
      <c r="A1256" s="1" t="s">
        <v>563</v>
      </c>
      <c r="B1256" s="1">
        <v>5</v>
      </c>
      <c r="C1256" s="1">
        <v>193</v>
      </c>
    </row>
    <row r="1257" spans="1:3" x14ac:dyDescent="0.5">
      <c r="A1257" s="1" t="s">
        <v>474</v>
      </c>
      <c r="B1257" s="1">
        <v>5</v>
      </c>
      <c r="C1257" s="1">
        <v>193</v>
      </c>
    </row>
    <row r="1258" spans="1:3" x14ac:dyDescent="0.5">
      <c r="A1258" s="1" t="s">
        <v>52</v>
      </c>
      <c r="B1258" s="1">
        <v>6</v>
      </c>
      <c r="C1258" s="1">
        <v>72866</v>
      </c>
    </row>
    <row r="1259" spans="1:3" x14ac:dyDescent="0.5">
      <c r="A1259" s="1" t="s">
        <v>12</v>
      </c>
      <c r="B1259" s="1">
        <v>1</v>
      </c>
      <c r="C1259" s="1">
        <v>72699</v>
      </c>
    </row>
    <row r="1260" spans="1:3" x14ac:dyDescent="0.5">
      <c r="A1260" s="1" t="s">
        <v>53</v>
      </c>
      <c r="B1260" s="1">
        <v>5</v>
      </c>
      <c r="C1260" s="1">
        <v>167</v>
      </c>
    </row>
    <row r="1261" spans="1:3" x14ac:dyDescent="0.5">
      <c r="A1261" s="1" t="s">
        <v>344</v>
      </c>
      <c r="B1261" s="1">
        <v>14</v>
      </c>
      <c r="C1261" s="1">
        <v>60</v>
      </c>
    </row>
    <row r="1262" spans="1:3" x14ac:dyDescent="0.5">
      <c r="A1262" s="1" t="s">
        <v>18</v>
      </c>
      <c r="B1262" s="1">
        <v>14</v>
      </c>
      <c r="C1262" s="1">
        <v>60</v>
      </c>
    </row>
    <row r="1263" spans="1:3" x14ac:dyDescent="0.5">
      <c r="A1263" s="1" t="s">
        <v>469</v>
      </c>
      <c r="B1263" s="1">
        <v>1</v>
      </c>
      <c r="C1263" s="1">
        <v>38859</v>
      </c>
    </row>
    <row r="1264" spans="1:3" x14ac:dyDescent="0.5">
      <c r="A1264" s="1" t="s">
        <v>782</v>
      </c>
      <c r="B1264" s="1">
        <v>1</v>
      </c>
      <c r="C1264" s="1">
        <v>38859</v>
      </c>
    </row>
    <row r="1265" spans="1:3" x14ac:dyDescent="0.5">
      <c r="A1265" s="1" t="s">
        <v>250</v>
      </c>
      <c r="B1265" s="1">
        <v>3</v>
      </c>
      <c r="C1265" s="1">
        <v>130</v>
      </c>
    </row>
    <row r="1266" spans="1:3" x14ac:dyDescent="0.5">
      <c r="A1266" s="1" t="s">
        <v>23</v>
      </c>
      <c r="B1266" s="1">
        <v>3</v>
      </c>
      <c r="C1266" s="1">
        <v>130</v>
      </c>
    </row>
    <row r="1267" spans="1:3" x14ac:dyDescent="0.5">
      <c r="A1267" s="1" t="s">
        <v>675</v>
      </c>
      <c r="B1267" s="1">
        <v>3</v>
      </c>
      <c r="C1267" s="1">
        <v>235</v>
      </c>
    </row>
    <row r="1268" spans="1:3" x14ac:dyDescent="0.5">
      <c r="A1268" s="1" t="s">
        <v>23</v>
      </c>
      <c r="B1268" s="1">
        <v>3</v>
      </c>
      <c r="C1268" s="1">
        <v>235</v>
      </c>
    </row>
    <row r="1269" spans="1:3" x14ac:dyDescent="0.5">
      <c r="A1269" s="1" t="s">
        <v>201</v>
      </c>
      <c r="B1269" s="1">
        <v>1</v>
      </c>
      <c r="C1269" s="1">
        <v>59073</v>
      </c>
    </row>
    <row r="1270" spans="1:3" x14ac:dyDescent="0.5">
      <c r="A1270" s="1" t="s">
        <v>782</v>
      </c>
      <c r="B1270" s="1">
        <v>1</v>
      </c>
      <c r="C1270" s="1">
        <v>59073</v>
      </c>
    </row>
    <row r="1271" spans="1:3" x14ac:dyDescent="0.5">
      <c r="A1271" s="1" t="s">
        <v>441</v>
      </c>
      <c r="B1271" s="1">
        <v>7</v>
      </c>
      <c r="C1271" s="1">
        <v>144</v>
      </c>
    </row>
    <row r="1272" spans="1:3" x14ac:dyDescent="0.5">
      <c r="A1272" s="1" t="s">
        <v>18</v>
      </c>
      <c r="B1272" s="1">
        <v>7</v>
      </c>
      <c r="C1272" s="1">
        <v>144</v>
      </c>
    </row>
    <row r="1273" spans="1:3" x14ac:dyDescent="0.5">
      <c r="A1273" s="1" t="s">
        <v>435</v>
      </c>
      <c r="B1273" s="1">
        <v>1</v>
      </c>
      <c r="C1273" s="1">
        <v>46671</v>
      </c>
    </row>
    <row r="1274" spans="1:3" x14ac:dyDescent="0.5">
      <c r="A1274" s="1" t="s">
        <v>782</v>
      </c>
      <c r="B1274" s="1">
        <v>1</v>
      </c>
      <c r="C1274" s="1">
        <v>46671</v>
      </c>
    </row>
    <row r="1275" spans="1:3" x14ac:dyDescent="0.5">
      <c r="A1275" s="1" t="s">
        <v>350</v>
      </c>
      <c r="B1275" s="1">
        <v>5</v>
      </c>
      <c r="C1275" s="1">
        <v>443</v>
      </c>
    </row>
    <row r="1276" spans="1:3" x14ac:dyDescent="0.5">
      <c r="A1276" s="1" t="s">
        <v>16</v>
      </c>
      <c r="B1276" s="1">
        <v>5</v>
      </c>
      <c r="C1276" s="1">
        <v>443</v>
      </c>
    </row>
    <row r="1277" spans="1:3" x14ac:dyDescent="0.5">
      <c r="A1277" s="1" t="s">
        <v>232</v>
      </c>
      <c r="B1277" s="1">
        <v>7</v>
      </c>
      <c r="C1277" s="1">
        <v>50</v>
      </c>
    </row>
    <row r="1278" spans="1:3" x14ac:dyDescent="0.5">
      <c r="A1278" s="1" t="s">
        <v>233</v>
      </c>
      <c r="B1278" s="1">
        <v>7</v>
      </c>
      <c r="C1278" s="1">
        <v>50</v>
      </c>
    </row>
    <row r="1279" spans="1:3" x14ac:dyDescent="0.5">
      <c r="A1279" s="1" t="s">
        <v>692</v>
      </c>
      <c r="B1279" s="1">
        <v>4</v>
      </c>
      <c r="C1279" s="1">
        <v>66353</v>
      </c>
    </row>
    <row r="1280" spans="1:3" x14ac:dyDescent="0.5">
      <c r="A1280" s="1" t="s">
        <v>12</v>
      </c>
      <c r="B1280" s="1">
        <v>4</v>
      </c>
      <c r="C1280" s="1">
        <v>66353</v>
      </c>
    </row>
    <row r="1281" spans="1:3" x14ac:dyDescent="0.5">
      <c r="A1281" s="1" t="s">
        <v>618</v>
      </c>
      <c r="B1281" s="1">
        <v>5</v>
      </c>
      <c r="C1281" s="1">
        <v>1681</v>
      </c>
    </row>
    <row r="1282" spans="1:3" x14ac:dyDescent="0.5">
      <c r="A1282" s="1" t="s">
        <v>16</v>
      </c>
      <c r="B1282" s="1">
        <v>5</v>
      </c>
      <c r="C1282" s="1">
        <v>1681</v>
      </c>
    </row>
    <row r="1283" spans="1:3" x14ac:dyDescent="0.5">
      <c r="A1283" s="1" t="s">
        <v>670</v>
      </c>
      <c r="B1283" s="1">
        <v>6</v>
      </c>
      <c r="C1283" s="1">
        <v>96</v>
      </c>
    </row>
    <row r="1284" spans="1:3" x14ac:dyDescent="0.5">
      <c r="A1284" s="1" t="s">
        <v>671</v>
      </c>
      <c r="B1284" s="1">
        <v>6</v>
      </c>
      <c r="C1284" s="1">
        <v>96</v>
      </c>
    </row>
    <row r="1285" spans="1:3" x14ac:dyDescent="0.5">
      <c r="A1285" s="1" t="s">
        <v>110</v>
      </c>
      <c r="B1285" s="1">
        <v>10</v>
      </c>
      <c r="C1285" s="1">
        <v>167</v>
      </c>
    </row>
    <row r="1286" spans="1:3" x14ac:dyDescent="0.5">
      <c r="A1286" s="1" t="s">
        <v>18</v>
      </c>
      <c r="B1286" s="1">
        <v>10</v>
      </c>
      <c r="C1286" s="1">
        <v>167</v>
      </c>
    </row>
    <row r="1287" spans="1:3" x14ac:dyDescent="0.5">
      <c r="A1287" s="1" t="s">
        <v>83</v>
      </c>
      <c r="B1287" s="1">
        <v>14</v>
      </c>
      <c r="C1287" s="1">
        <v>116</v>
      </c>
    </row>
    <row r="1288" spans="1:3" x14ac:dyDescent="0.5">
      <c r="A1288" s="1" t="s">
        <v>18</v>
      </c>
      <c r="B1288" s="1">
        <v>14</v>
      </c>
      <c r="C1288" s="1">
        <v>116</v>
      </c>
    </row>
    <row r="1289" spans="1:3" x14ac:dyDescent="0.5">
      <c r="A1289" s="1" t="s">
        <v>196</v>
      </c>
      <c r="B1289" s="1">
        <v>12</v>
      </c>
      <c r="C1289" s="1">
        <v>216</v>
      </c>
    </row>
    <row r="1290" spans="1:3" x14ac:dyDescent="0.5">
      <c r="A1290" s="1" t="s">
        <v>23</v>
      </c>
      <c r="B1290" s="1">
        <v>4</v>
      </c>
      <c r="C1290" s="1">
        <v>164</v>
      </c>
    </row>
    <row r="1291" spans="1:3" x14ac:dyDescent="0.5">
      <c r="A1291" s="1" t="s">
        <v>60</v>
      </c>
      <c r="B1291" s="1">
        <v>8</v>
      </c>
      <c r="C1291" s="1">
        <v>52</v>
      </c>
    </row>
    <row r="1292" spans="1:3" x14ac:dyDescent="0.5">
      <c r="A1292" s="1" t="s">
        <v>40</v>
      </c>
      <c r="B1292" s="1">
        <v>11</v>
      </c>
      <c r="C1292" s="1">
        <v>589</v>
      </c>
    </row>
    <row r="1293" spans="1:3" x14ac:dyDescent="0.5">
      <c r="A1293" s="1" t="s">
        <v>41</v>
      </c>
      <c r="B1293" s="1">
        <v>11</v>
      </c>
      <c r="C1293" s="1">
        <v>589</v>
      </c>
    </row>
    <row r="1294" spans="1:3" x14ac:dyDescent="0.5">
      <c r="A1294" s="1" t="s">
        <v>285</v>
      </c>
      <c r="B1294" s="1">
        <v>7</v>
      </c>
      <c r="C1294" s="1">
        <v>63</v>
      </c>
    </row>
    <row r="1295" spans="1:3" x14ac:dyDescent="0.5">
      <c r="A1295" s="1" t="s">
        <v>143</v>
      </c>
      <c r="B1295" s="1">
        <v>7</v>
      </c>
      <c r="C1295" s="1">
        <v>63</v>
      </c>
    </row>
    <row r="1296" spans="1:3" x14ac:dyDescent="0.5">
      <c r="A1296" s="1" t="s">
        <v>512</v>
      </c>
      <c r="B1296" s="1">
        <v>6</v>
      </c>
      <c r="C1296" s="1">
        <v>104</v>
      </c>
    </row>
    <row r="1297" spans="1:3" x14ac:dyDescent="0.5">
      <c r="A1297" s="1" t="s">
        <v>60</v>
      </c>
      <c r="B1297" s="1">
        <v>6</v>
      </c>
      <c r="C1297" s="1">
        <v>104</v>
      </c>
    </row>
    <row r="1298" spans="1:3" x14ac:dyDescent="0.5">
      <c r="A1298" s="1" t="s">
        <v>176</v>
      </c>
      <c r="B1298" s="1">
        <v>2</v>
      </c>
      <c r="C1298" s="1">
        <v>70365</v>
      </c>
    </row>
    <row r="1299" spans="1:3" x14ac:dyDescent="0.5">
      <c r="A1299" s="1" t="s">
        <v>782</v>
      </c>
      <c r="B1299" s="1">
        <v>2</v>
      </c>
      <c r="C1299" s="1">
        <v>70365</v>
      </c>
    </row>
    <row r="1300" spans="1:3" x14ac:dyDescent="0.5">
      <c r="A1300" s="1" t="s">
        <v>651</v>
      </c>
      <c r="B1300" s="1">
        <v>12</v>
      </c>
      <c r="C1300" s="1">
        <v>135</v>
      </c>
    </row>
    <row r="1301" spans="1:3" x14ac:dyDescent="0.5">
      <c r="A1301" s="1" t="s">
        <v>652</v>
      </c>
      <c r="B1301" s="1">
        <v>12</v>
      </c>
      <c r="C1301" s="1">
        <v>135</v>
      </c>
    </row>
    <row r="1302" spans="1:3" x14ac:dyDescent="0.5">
      <c r="A1302" s="1" t="s">
        <v>668</v>
      </c>
      <c r="B1302" s="1">
        <v>4</v>
      </c>
      <c r="C1302" s="1">
        <v>56424</v>
      </c>
    </row>
    <row r="1303" spans="1:3" x14ac:dyDescent="0.5">
      <c r="A1303" s="1" t="s">
        <v>12</v>
      </c>
      <c r="B1303" s="1">
        <v>4</v>
      </c>
      <c r="C1303" s="1">
        <v>56424</v>
      </c>
    </row>
    <row r="1304" spans="1:3" x14ac:dyDescent="0.5">
      <c r="A1304" s="1" t="s">
        <v>19</v>
      </c>
      <c r="B1304" s="1">
        <v>7</v>
      </c>
      <c r="C1304" s="1">
        <v>301</v>
      </c>
    </row>
    <row r="1305" spans="1:3" x14ac:dyDescent="0.5">
      <c r="A1305" s="1" t="s">
        <v>18</v>
      </c>
      <c r="B1305" s="1">
        <v>7</v>
      </c>
      <c r="C1305" s="1">
        <v>301</v>
      </c>
    </row>
    <row r="1306" spans="1:3" x14ac:dyDescent="0.5">
      <c r="A1306" s="1" t="s">
        <v>712</v>
      </c>
      <c r="B1306" s="1">
        <v>14</v>
      </c>
      <c r="C1306" s="1">
        <v>550</v>
      </c>
    </row>
    <row r="1307" spans="1:3" x14ac:dyDescent="0.5">
      <c r="A1307" s="1" t="s">
        <v>18</v>
      </c>
      <c r="B1307" s="1">
        <v>14</v>
      </c>
      <c r="C1307" s="1">
        <v>550</v>
      </c>
    </row>
    <row r="1308" spans="1:3" x14ac:dyDescent="0.5">
      <c r="A1308" s="1" t="s">
        <v>655</v>
      </c>
      <c r="B1308" s="1">
        <v>15</v>
      </c>
      <c r="C1308" s="1">
        <v>69</v>
      </c>
    </row>
    <row r="1309" spans="1:3" x14ac:dyDescent="0.5">
      <c r="A1309" s="1" t="s">
        <v>18</v>
      </c>
      <c r="B1309" s="1">
        <v>15</v>
      </c>
      <c r="C1309" s="1">
        <v>69</v>
      </c>
    </row>
    <row r="1310" spans="1:3" x14ac:dyDescent="0.5">
      <c r="A1310" s="1" t="s">
        <v>688</v>
      </c>
      <c r="B1310" s="1">
        <v>10</v>
      </c>
      <c r="C1310" s="1">
        <v>579</v>
      </c>
    </row>
    <row r="1311" spans="1:3" x14ac:dyDescent="0.5">
      <c r="A1311" s="1" t="s">
        <v>18</v>
      </c>
      <c r="B1311" s="1">
        <v>10</v>
      </c>
      <c r="C1311" s="1">
        <v>579</v>
      </c>
    </row>
    <row r="1312" spans="1:3" x14ac:dyDescent="0.5">
      <c r="A1312" s="1" t="s">
        <v>375</v>
      </c>
      <c r="B1312" s="1">
        <v>4</v>
      </c>
      <c r="C1312" s="1">
        <v>61308</v>
      </c>
    </row>
    <row r="1313" spans="1:3" x14ac:dyDescent="0.5">
      <c r="A1313" s="1" t="s">
        <v>12</v>
      </c>
      <c r="B1313" s="1">
        <v>4</v>
      </c>
      <c r="C1313" s="1">
        <v>61308</v>
      </c>
    </row>
    <row r="1314" spans="1:3" x14ac:dyDescent="0.5">
      <c r="A1314" s="1" t="s">
        <v>437</v>
      </c>
      <c r="B1314" s="1">
        <v>3</v>
      </c>
      <c r="C1314" s="1">
        <v>4015</v>
      </c>
    </row>
    <row r="1315" spans="1:3" x14ac:dyDescent="0.5">
      <c r="A1315" s="1" t="s">
        <v>9</v>
      </c>
      <c r="B1315" s="1">
        <v>3</v>
      </c>
      <c r="C1315" s="1">
        <v>4015</v>
      </c>
    </row>
    <row r="1316" spans="1:3" x14ac:dyDescent="0.5">
      <c r="A1316" s="1" t="s">
        <v>672</v>
      </c>
      <c r="B1316" s="1">
        <v>7</v>
      </c>
      <c r="C1316" s="1">
        <v>191</v>
      </c>
    </row>
    <row r="1317" spans="1:3" x14ac:dyDescent="0.5">
      <c r="A1317" s="1" t="s">
        <v>18</v>
      </c>
      <c r="B1317" s="1">
        <v>7</v>
      </c>
      <c r="C1317" s="1">
        <v>191</v>
      </c>
    </row>
    <row r="1318" spans="1:3" x14ac:dyDescent="0.5">
      <c r="A1318" s="1" t="s">
        <v>397</v>
      </c>
      <c r="B1318" s="1">
        <v>10</v>
      </c>
      <c r="C1318" s="1">
        <v>157</v>
      </c>
    </row>
    <row r="1319" spans="1:3" x14ac:dyDescent="0.5">
      <c r="A1319" s="1" t="s">
        <v>336</v>
      </c>
      <c r="B1319" s="1">
        <v>10</v>
      </c>
      <c r="C1319" s="1">
        <v>157</v>
      </c>
    </row>
    <row r="1320" spans="1:3" x14ac:dyDescent="0.5">
      <c r="A1320" s="1" t="s">
        <v>444</v>
      </c>
      <c r="B1320" s="1">
        <v>3</v>
      </c>
      <c r="C1320" s="1">
        <v>142</v>
      </c>
    </row>
    <row r="1321" spans="1:3" x14ac:dyDescent="0.5">
      <c r="A1321" s="1" t="s">
        <v>23</v>
      </c>
      <c r="B1321" s="1">
        <v>3</v>
      </c>
      <c r="C1321" s="1">
        <v>142</v>
      </c>
    </row>
    <row r="1322" spans="1:3" x14ac:dyDescent="0.5">
      <c r="A1322" s="1" t="s">
        <v>574</v>
      </c>
      <c r="B1322" s="1">
        <v>3</v>
      </c>
      <c r="C1322" s="1">
        <v>2313</v>
      </c>
    </row>
    <row r="1323" spans="1:3" x14ac:dyDescent="0.5">
      <c r="A1323" s="1" t="s">
        <v>9</v>
      </c>
      <c r="B1323" s="1">
        <v>3</v>
      </c>
      <c r="C1323" s="1">
        <v>2313</v>
      </c>
    </row>
    <row r="1324" spans="1:3" x14ac:dyDescent="0.5">
      <c r="A1324" s="1" t="s">
        <v>432</v>
      </c>
      <c r="B1324" s="1">
        <v>4</v>
      </c>
      <c r="C1324" s="1">
        <v>22191</v>
      </c>
    </row>
    <row r="1325" spans="1:3" x14ac:dyDescent="0.5">
      <c r="A1325" s="1" t="s">
        <v>12</v>
      </c>
      <c r="B1325" s="1">
        <v>4</v>
      </c>
      <c r="C1325" s="1">
        <v>22191</v>
      </c>
    </row>
    <row r="1326" spans="1:3" x14ac:dyDescent="0.5">
      <c r="A1326" s="1" t="s">
        <v>762</v>
      </c>
      <c r="B1326" s="1">
        <v>10</v>
      </c>
      <c r="C1326" s="1">
        <v>192</v>
      </c>
    </row>
    <row r="1327" spans="1:3" x14ac:dyDescent="0.5">
      <c r="A1327" s="1" t="s">
        <v>60</v>
      </c>
      <c r="B1327" s="1">
        <v>10</v>
      </c>
      <c r="C1327" s="1">
        <v>192</v>
      </c>
    </row>
    <row r="1328" spans="1:3" x14ac:dyDescent="0.5">
      <c r="A1328" s="1" t="s">
        <v>111</v>
      </c>
      <c r="B1328" s="1">
        <v>11</v>
      </c>
      <c r="C1328" s="1">
        <v>117</v>
      </c>
    </row>
    <row r="1329" spans="1:3" x14ac:dyDescent="0.5">
      <c r="A1329" s="1" t="s">
        <v>18</v>
      </c>
      <c r="B1329" s="1">
        <v>11</v>
      </c>
      <c r="C1329" s="1">
        <v>117</v>
      </c>
    </row>
    <row r="1330" spans="1:3" x14ac:dyDescent="0.5">
      <c r="A1330" s="1" t="s">
        <v>286</v>
      </c>
      <c r="B1330" s="1">
        <v>8</v>
      </c>
      <c r="C1330" s="1">
        <v>70</v>
      </c>
    </row>
    <row r="1331" spans="1:3" x14ac:dyDescent="0.5">
      <c r="A1331" s="1" t="s">
        <v>287</v>
      </c>
      <c r="B1331" s="1">
        <v>8</v>
      </c>
      <c r="C1331" s="1">
        <v>70</v>
      </c>
    </row>
    <row r="1332" spans="1:3" x14ac:dyDescent="0.5">
      <c r="A1332" s="1" t="s">
        <v>310</v>
      </c>
      <c r="B1332" s="1">
        <v>8</v>
      </c>
      <c r="C1332" s="1">
        <v>84</v>
      </c>
    </row>
    <row r="1333" spans="1:3" x14ac:dyDescent="0.5">
      <c r="A1333" s="1" t="s">
        <v>33</v>
      </c>
      <c r="B1333" s="1">
        <v>8</v>
      </c>
      <c r="C1333" s="1">
        <v>84</v>
      </c>
    </row>
    <row r="1334" spans="1:3" x14ac:dyDescent="0.5">
      <c r="A1334" s="1" t="s">
        <v>781</v>
      </c>
      <c r="B1334" s="1">
        <v>15</v>
      </c>
      <c r="C1334" s="1">
        <v>173</v>
      </c>
    </row>
    <row r="1335" spans="1:3" x14ac:dyDescent="0.5">
      <c r="A1335" s="1" t="s">
        <v>18</v>
      </c>
      <c r="B1335" s="1">
        <v>15</v>
      </c>
      <c r="C1335" s="1">
        <v>173</v>
      </c>
    </row>
    <row r="1336" spans="1:3" x14ac:dyDescent="0.5">
      <c r="A1336" s="1" t="s">
        <v>75</v>
      </c>
      <c r="B1336" s="1">
        <v>8</v>
      </c>
      <c r="C1336" s="1">
        <v>27</v>
      </c>
    </row>
    <row r="1337" spans="1:3" x14ac:dyDescent="0.5">
      <c r="A1337" s="1" t="s">
        <v>76</v>
      </c>
      <c r="B1337" s="1">
        <v>8</v>
      </c>
      <c r="C1337" s="1">
        <v>27</v>
      </c>
    </row>
    <row r="1338" spans="1:3" x14ac:dyDescent="0.5">
      <c r="A1338" s="1" t="s">
        <v>495</v>
      </c>
      <c r="B1338" s="1">
        <v>3</v>
      </c>
      <c r="C1338" s="1">
        <v>3079</v>
      </c>
    </row>
    <row r="1339" spans="1:3" x14ac:dyDescent="0.5">
      <c r="A1339" s="1" t="s">
        <v>9</v>
      </c>
      <c r="B1339" s="1">
        <v>3</v>
      </c>
      <c r="C1339" s="1">
        <v>3079</v>
      </c>
    </row>
    <row r="1340" spans="1:3" x14ac:dyDescent="0.5">
      <c r="A1340" s="1" t="s">
        <v>271</v>
      </c>
      <c r="B1340" s="1">
        <v>4</v>
      </c>
      <c r="C1340" s="1">
        <v>52297</v>
      </c>
    </row>
    <row r="1341" spans="1:3" x14ac:dyDescent="0.5">
      <c r="A1341" s="1" t="s">
        <v>12</v>
      </c>
      <c r="B1341" s="1">
        <v>4</v>
      </c>
      <c r="C1341" s="1">
        <v>52297</v>
      </c>
    </row>
    <row r="1342" spans="1:3" x14ac:dyDescent="0.5">
      <c r="A1342" s="1" t="s">
        <v>223</v>
      </c>
      <c r="B1342" s="1">
        <v>7</v>
      </c>
      <c r="C1342" s="1">
        <v>118</v>
      </c>
    </row>
    <row r="1343" spans="1:3" x14ac:dyDescent="0.5">
      <c r="A1343" s="1" t="s">
        <v>47</v>
      </c>
      <c r="B1343" s="1">
        <v>7</v>
      </c>
      <c r="C1343" s="1">
        <v>118</v>
      </c>
    </row>
    <row r="1344" spans="1:3" x14ac:dyDescent="0.5">
      <c r="A1344" s="1" t="s">
        <v>62</v>
      </c>
      <c r="B1344" s="1">
        <v>11</v>
      </c>
      <c r="C1344" s="1">
        <v>69</v>
      </c>
    </row>
    <row r="1345" spans="1:3" x14ac:dyDescent="0.5">
      <c r="A1345" s="1" t="s">
        <v>63</v>
      </c>
      <c r="B1345" s="1">
        <v>11</v>
      </c>
      <c r="C1345" s="1">
        <v>69</v>
      </c>
    </row>
    <row r="1346" spans="1:3" x14ac:dyDescent="0.5">
      <c r="A1346" s="1" t="s">
        <v>165</v>
      </c>
      <c r="B1346" s="1">
        <v>7</v>
      </c>
      <c r="C1346" s="1">
        <v>390</v>
      </c>
    </row>
    <row r="1347" spans="1:3" x14ac:dyDescent="0.5">
      <c r="A1347" s="1" t="s">
        <v>166</v>
      </c>
      <c r="B1347" s="1">
        <v>7</v>
      </c>
      <c r="C1347" s="1">
        <v>390</v>
      </c>
    </row>
    <row r="1348" spans="1:3" x14ac:dyDescent="0.5">
      <c r="A1348" s="1" t="s">
        <v>773</v>
      </c>
      <c r="B1348" s="1">
        <v>8</v>
      </c>
      <c r="C1348" s="1">
        <v>90</v>
      </c>
    </row>
    <row r="1349" spans="1:3" x14ac:dyDescent="0.5">
      <c r="A1349" s="1" t="s">
        <v>89</v>
      </c>
      <c r="B1349" s="1">
        <v>8</v>
      </c>
      <c r="C1349" s="1">
        <v>90</v>
      </c>
    </row>
    <row r="1350" spans="1:3" x14ac:dyDescent="0.5">
      <c r="A1350" s="1" t="s">
        <v>125</v>
      </c>
      <c r="B1350" s="1">
        <v>6</v>
      </c>
      <c r="C1350" s="1">
        <v>87</v>
      </c>
    </row>
    <row r="1351" spans="1:3" x14ac:dyDescent="0.5">
      <c r="A1351" s="1" t="s">
        <v>126</v>
      </c>
      <c r="B1351" s="1">
        <v>6</v>
      </c>
      <c r="C1351" s="1">
        <v>87</v>
      </c>
    </row>
    <row r="1352" spans="1:3" x14ac:dyDescent="0.5">
      <c r="A1352" s="1" t="s">
        <v>399</v>
      </c>
      <c r="B1352" s="1">
        <v>12</v>
      </c>
      <c r="C1352" s="1">
        <v>569</v>
      </c>
    </row>
    <row r="1353" spans="1:3" x14ac:dyDescent="0.5">
      <c r="A1353" s="1" t="s">
        <v>18</v>
      </c>
      <c r="B1353" s="1">
        <v>12</v>
      </c>
      <c r="C1353" s="1">
        <v>569</v>
      </c>
    </row>
    <row r="1354" spans="1:3" x14ac:dyDescent="0.5">
      <c r="A1354" s="1" t="s">
        <v>396</v>
      </c>
      <c r="B1354" s="1">
        <v>9</v>
      </c>
      <c r="C1354" s="1">
        <v>121</v>
      </c>
    </row>
    <row r="1355" spans="1:3" x14ac:dyDescent="0.5">
      <c r="A1355" s="1" t="s">
        <v>33</v>
      </c>
      <c r="B1355" s="1">
        <v>9</v>
      </c>
      <c r="C1355" s="1">
        <v>121</v>
      </c>
    </row>
    <row r="1356" spans="1:3" x14ac:dyDescent="0.5">
      <c r="A1356" s="1" t="s">
        <v>381</v>
      </c>
      <c r="B1356" s="1">
        <v>8</v>
      </c>
      <c r="C1356" s="1">
        <v>44</v>
      </c>
    </row>
    <row r="1357" spans="1:3" x14ac:dyDescent="0.5">
      <c r="A1357" s="1" t="s">
        <v>33</v>
      </c>
      <c r="B1357" s="1">
        <v>8</v>
      </c>
      <c r="C1357" s="1">
        <v>44</v>
      </c>
    </row>
    <row r="1358" spans="1:3" x14ac:dyDescent="0.5">
      <c r="A1358" s="1" t="s">
        <v>780</v>
      </c>
      <c r="B1358" s="1">
        <v>14</v>
      </c>
      <c r="C1358" s="1">
        <v>229</v>
      </c>
    </row>
    <row r="1359" spans="1:3" x14ac:dyDescent="0.5">
      <c r="A1359" s="1" t="s">
        <v>18</v>
      </c>
      <c r="B1359" s="1">
        <v>14</v>
      </c>
      <c r="C1359" s="1">
        <v>229</v>
      </c>
    </row>
    <row r="1360" spans="1:3" x14ac:dyDescent="0.5">
      <c r="A1360" s="1" t="s">
        <v>509</v>
      </c>
      <c r="B1360" s="1">
        <v>4</v>
      </c>
      <c r="C1360" s="1">
        <v>778</v>
      </c>
    </row>
    <row r="1361" spans="1:3" x14ac:dyDescent="0.5">
      <c r="A1361" s="1" t="s">
        <v>23</v>
      </c>
      <c r="B1361" s="1">
        <v>4</v>
      </c>
      <c r="C1361" s="1">
        <v>778</v>
      </c>
    </row>
    <row r="1362" spans="1:3" x14ac:dyDescent="0.5">
      <c r="A1362" s="1" t="s">
        <v>254</v>
      </c>
      <c r="B1362" s="1">
        <v>7</v>
      </c>
      <c r="C1362" s="1">
        <v>11</v>
      </c>
    </row>
    <row r="1363" spans="1:3" x14ac:dyDescent="0.5">
      <c r="A1363" s="1" t="s">
        <v>18</v>
      </c>
      <c r="B1363" s="1">
        <v>7</v>
      </c>
      <c r="C1363" s="1">
        <v>11</v>
      </c>
    </row>
    <row r="1364" spans="1:3" x14ac:dyDescent="0.5">
      <c r="A1364" s="1" t="s">
        <v>784</v>
      </c>
      <c r="B1364" s="1">
        <v>4961</v>
      </c>
      <c r="C1364" s="1">
        <v>9488376</v>
      </c>
    </row>
  </sheetData>
  <conditionalFormatting sqref="C3">
    <cfRule type="dataBar" priority="1">
      <dataBar>
        <cfvo type="min"/>
        <cfvo type="max"/>
        <color rgb="FFFFB628"/>
      </dataBar>
      <extLst>
        <ext xmlns:x14="http://schemas.microsoft.com/office/spreadsheetml/2009/9/main" uri="{B025F937-C7B1-47D3-B67F-A62EFF666E3E}">
          <x14:id>{B40A8738-9EED-4DAE-A63E-CBD84E74DD9F}</x14:id>
        </ext>
      </extLst>
    </cfRule>
    <cfRule type="dataBar" priority="2">
      <dataBar>
        <cfvo type="min"/>
        <cfvo type="max"/>
        <color rgb="FFFFB628"/>
      </dataBar>
      <extLst>
        <ext xmlns:x14="http://schemas.microsoft.com/office/spreadsheetml/2009/9/main" uri="{B025F937-C7B1-47D3-B67F-A62EFF666E3E}">
          <x14:id>{BC0AD1E8-DDD9-4D7D-9FE5-A0DB42927D6E}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40A8738-9EED-4DAE-A63E-CBD84E74DD9F}">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BC0AD1E8-DDD9-4D7D-9FE5-A0DB42927D6E}">
            <x14:dataBar minLength="0" maxLength="100" border="1" negativeBarBorderColorSameAsPositive="0">
              <x14:cfvo type="autoMin"/>
              <x14:cfvo type="autoMax"/>
              <x14:borderColor rgb="FFFFB628"/>
              <x14:negativeFillColor rgb="FFFF0000"/>
              <x14:negativeBorderColor rgb="FFFF0000"/>
              <x14:axisColor rgb="FF000000"/>
            </x14:dataBar>
          </x14:cfRule>
          <xm:sqref>C3</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6CA5-3948-4A18-89A7-DC3E261B4C0B}">
  <dimension ref="A1:C672"/>
  <sheetViews>
    <sheetView zoomScale="92" zoomScaleNormal="124" workbookViewId="0">
      <selection activeCell="E17" sqref="E17"/>
    </sheetView>
  </sheetViews>
  <sheetFormatPr defaultRowHeight="18" x14ac:dyDescent="0.5"/>
  <cols>
    <col min="1" max="1" width="46.33203125" bestFit="1" customWidth="1"/>
    <col min="2" max="2" width="22.21875" bestFit="1" customWidth="1"/>
    <col min="3" max="3" width="12.88671875" bestFit="1" customWidth="1"/>
    <col min="4" max="4" width="28.33203125" bestFit="1" customWidth="1"/>
    <col min="5" max="5" width="19" bestFit="1" customWidth="1"/>
  </cols>
  <sheetData>
    <row r="1" spans="1:3" x14ac:dyDescent="0.5">
      <c r="A1" s="4" t="s">
        <v>2</v>
      </c>
      <c r="B1" s="5" t="s">
        <v>783</v>
      </c>
    </row>
    <row r="3" spans="1:3" x14ac:dyDescent="0.5">
      <c r="A3" s="12" t="s">
        <v>785</v>
      </c>
      <c r="B3" s="12" t="s">
        <v>787</v>
      </c>
      <c r="C3" s="12" t="s">
        <v>786</v>
      </c>
    </row>
    <row r="4" spans="1:3" x14ac:dyDescent="0.5">
      <c r="A4" s="1" t="s">
        <v>302</v>
      </c>
      <c r="B4" s="1">
        <v>40.020000000000003</v>
      </c>
      <c r="C4" s="1">
        <v>45942</v>
      </c>
    </row>
    <row r="5" spans="1:3" x14ac:dyDescent="0.5">
      <c r="A5" s="1" t="s">
        <v>85</v>
      </c>
      <c r="B5" s="1">
        <v>40.56</v>
      </c>
      <c r="C5" s="1">
        <v>61192</v>
      </c>
    </row>
    <row r="6" spans="1:3" x14ac:dyDescent="0.5">
      <c r="A6" s="1" t="s">
        <v>214</v>
      </c>
      <c r="B6" s="1">
        <v>0.22</v>
      </c>
      <c r="C6" s="1">
        <v>234</v>
      </c>
    </row>
    <row r="7" spans="1:3" x14ac:dyDescent="0.5">
      <c r="A7" s="1" t="s">
        <v>248</v>
      </c>
      <c r="B7" s="1">
        <v>68.8</v>
      </c>
      <c r="C7" s="1">
        <v>58120</v>
      </c>
    </row>
    <row r="8" spans="1:3" x14ac:dyDescent="0.5">
      <c r="A8" s="1" t="s">
        <v>715</v>
      </c>
      <c r="B8" s="1">
        <v>12.4</v>
      </c>
      <c r="C8" s="1">
        <v>16551</v>
      </c>
    </row>
    <row r="9" spans="1:3" x14ac:dyDescent="0.5">
      <c r="A9" s="1" t="s">
        <v>65</v>
      </c>
      <c r="B9" s="1">
        <v>0.34</v>
      </c>
      <c r="C9" s="1">
        <v>344</v>
      </c>
    </row>
    <row r="10" spans="1:3" x14ac:dyDescent="0.5">
      <c r="A10" s="1" t="s">
        <v>497</v>
      </c>
      <c r="B10" s="1">
        <v>0.03</v>
      </c>
      <c r="C10" s="1">
        <v>25</v>
      </c>
    </row>
    <row r="11" spans="1:3" x14ac:dyDescent="0.5">
      <c r="A11" s="1" t="s">
        <v>637</v>
      </c>
      <c r="B11" s="1">
        <v>52.11</v>
      </c>
      <c r="C11" s="1">
        <v>65858</v>
      </c>
    </row>
    <row r="12" spans="1:3" x14ac:dyDescent="0.5">
      <c r="A12" s="1" t="s">
        <v>179</v>
      </c>
      <c r="B12" s="1">
        <v>0.16999999999999998</v>
      </c>
      <c r="C12" s="1">
        <v>209</v>
      </c>
    </row>
    <row r="13" spans="1:3" x14ac:dyDescent="0.5">
      <c r="A13" s="1" t="s">
        <v>480</v>
      </c>
      <c r="B13" s="1">
        <v>31.98</v>
      </c>
      <c r="C13" s="1">
        <v>27019</v>
      </c>
    </row>
    <row r="14" spans="1:3" x14ac:dyDescent="0.5">
      <c r="A14" s="1" t="s">
        <v>28</v>
      </c>
      <c r="B14" s="1">
        <v>0.21</v>
      </c>
      <c r="C14" s="1">
        <v>531</v>
      </c>
    </row>
    <row r="15" spans="1:3" x14ac:dyDescent="0.5">
      <c r="A15" s="1" t="s">
        <v>263</v>
      </c>
      <c r="B15" s="1">
        <v>0.23</v>
      </c>
      <c r="C15" s="1">
        <v>224</v>
      </c>
    </row>
    <row r="16" spans="1:3" x14ac:dyDescent="0.5">
      <c r="A16" s="1" t="s">
        <v>372</v>
      </c>
      <c r="B16" s="1">
        <v>4.8600000000000003</v>
      </c>
      <c r="C16" s="1">
        <v>6773</v>
      </c>
    </row>
    <row r="17" spans="1:3" x14ac:dyDescent="0.5">
      <c r="A17" s="1" t="s">
        <v>754</v>
      </c>
      <c r="B17" s="1">
        <v>33.619999999999997</v>
      </c>
      <c r="C17" s="1">
        <v>67637</v>
      </c>
    </row>
    <row r="18" spans="1:3" x14ac:dyDescent="0.5">
      <c r="A18" s="1" t="s">
        <v>732</v>
      </c>
      <c r="B18" s="1">
        <v>0.03</v>
      </c>
      <c r="C18" s="1">
        <v>46</v>
      </c>
    </row>
    <row r="19" spans="1:3" x14ac:dyDescent="0.5">
      <c r="A19" s="1" t="s">
        <v>139</v>
      </c>
      <c r="B19" s="1">
        <v>0.1</v>
      </c>
      <c r="C19" s="1">
        <v>208</v>
      </c>
    </row>
    <row r="20" spans="1:3" x14ac:dyDescent="0.5">
      <c r="A20" s="1" t="s">
        <v>693</v>
      </c>
      <c r="B20" s="1">
        <v>0.2</v>
      </c>
      <c r="C20" s="1">
        <v>277</v>
      </c>
    </row>
    <row r="21" spans="1:3" x14ac:dyDescent="0.5">
      <c r="A21" s="1" t="s">
        <v>109</v>
      </c>
      <c r="B21" s="1">
        <v>0.06</v>
      </c>
      <c r="C21" s="1">
        <v>104</v>
      </c>
    </row>
    <row r="22" spans="1:3" x14ac:dyDescent="0.5">
      <c r="A22" s="1" t="s">
        <v>727</v>
      </c>
      <c r="B22" s="1">
        <v>56.96</v>
      </c>
      <c r="C22" s="1">
        <v>79987</v>
      </c>
    </row>
    <row r="23" spans="1:3" x14ac:dyDescent="0.5">
      <c r="A23" s="1" t="s">
        <v>779</v>
      </c>
      <c r="B23" s="1">
        <v>0.5</v>
      </c>
      <c r="C23" s="1">
        <v>1006</v>
      </c>
    </row>
    <row r="24" spans="1:3" x14ac:dyDescent="0.5">
      <c r="A24" s="1" t="s">
        <v>84</v>
      </c>
      <c r="B24" s="1">
        <v>30.51</v>
      </c>
      <c r="C24" s="1">
        <v>46029</v>
      </c>
    </row>
    <row r="25" spans="1:3" x14ac:dyDescent="0.5">
      <c r="A25" s="1" t="s">
        <v>703</v>
      </c>
      <c r="B25" s="1">
        <v>0.03</v>
      </c>
      <c r="C25" s="1">
        <v>48</v>
      </c>
    </row>
    <row r="26" spans="1:3" x14ac:dyDescent="0.5">
      <c r="A26" s="1" t="s">
        <v>216</v>
      </c>
      <c r="B26" s="1">
        <v>40.17</v>
      </c>
      <c r="C26" s="1">
        <v>38693</v>
      </c>
    </row>
    <row r="27" spans="1:3" x14ac:dyDescent="0.5">
      <c r="A27" s="1" t="s">
        <v>621</v>
      </c>
      <c r="B27" s="1">
        <v>5.62</v>
      </c>
      <c r="C27" s="1">
        <v>7230</v>
      </c>
    </row>
    <row r="28" spans="1:3" x14ac:dyDescent="0.5">
      <c r="A28" s="1" t="s">
        <v>753</v>
      </c>
      <c r="B28" s="1">
        <v>5.85</v>
      </c>
      <c r="C28" s="1">
        <v>11763</v>
      </c>
    </row>
    <row r="29" spans="1:3" x14ac:dyDescent="0.5">
      <c r="A29" s="1" t="s">
        <v>559</v>
      </c>
      <c r="B29" s="1">
        <v>4.1100000000000003</v>
      </c>
      <c r="C29" s="1">
        <v>4392</v>
      </c>
    </row>
    <row r="30" spans="1:3" x14ac:dyDescent="0.5">
      <c r="A30" s="1" t="s">
        <v>343</v>
      </c>
      <c r="B30" s="1">
        <v>0.15</v>
      </c>
      <c r="C30" s="1">
        <v>183</v>
      </c>
    </row>
    <row r="31" spans="1:3" x14ac:dyDescent="0.5">
      <c r="A31" s="1" t="s">
        <v>359</v>
      </c>
      <c r="B31" s="1">
        <v>0.1</v>
      </c>
      <c r="C31" s="1">
        <v>286</v>
      </c>
    </row>
    <row r="32" spans="1:3" x14ac:dyDescent="0.5">
      <c r="A32" s="1" t="s">
        <v>596</v>
      </c>
      <c r="B32" s="1">
        <v>42.45</v>
      </c>
      <c r="C32" s="1">
        <v>88943</v>
      </c>
    </row>
    <row r="33" spans="1:3" x14ac:dyDescent="0.5">
      <c r="A33" s="1" t="s">
        <v>253</v>
      </c>
      <c r="B33" s="1">
        <v>0.11</v>
      </c>
      <c r="C33" s="1">
        <v>93</v>
      </c>
    </row>
    <row r="34" spans="1:3" x14ac:dyDescent="0.5">
      <c r="A34" s="1" t="s">
        <v>666</v>
      </c>
      <c r="B34" s="1">
        <v>0.38</v>
      </c>
      <c r="C34" s="1">
        <v>552</v>
      </c>
    </row>
    <row r="35" spans="1:3" x14ac:dyDescent="0.5">
      <c r="A35" s="1" t="s">
        <v>614</v>
      </c>
      <c r="B35" s="1">
        <v>4.87</v>
      </c>
      <c r="C35" s="1">
        <v>6147</v>
      </c>
    </row>
    <row r="36" spans="1:3" x14ac:dyDescent="0.5">
      <c r="A36" s="1" t="s">
        <v>624</v>
      </c>
      <c r="B36" s="1">
        <v>0.08</v>
      </c>
      <c r="C36" s="1">
        <v>100</v>
      </c>
    </row>
    <row r="37" spans="1:3" x14ac:dyDescent="0.5">
      <c r="A37" s="1" t="s">
        <v>705</v>
      </c>
      <c r="B37" s="1">
        <v>0.03</v>
      </c>
      <c r="C37" s="1">
        <v>43</v>
      </c>
    </row>
    <row r="38" spans="1:3" x14ac:dyDescent="0.5">
      <c r="A38" s="1" t="s">
        <v>180</v>
      </c>
      <c r="B38" s="1">
        <v>0.09</v>
      </c>
      <c r="C38" s="1">
        <v>92</v>
      </c>
    </row>
    <row r="39" spans="1:3" x14ac:dyDescent="0.5">
      <c r="A39" s="1" t="s">
        <v>572</v>
      </c>
      <c r="B39" s="1">
        <v>1.4</v>
      </c>
      <c r="C39" s="1">
        <v>1606</v>
      </c>
    </row>
    <row r="40" spans="1:3" x14ac:dyDescent="0.5">
      <c r="A40" s="1" t="s">
        <v>418</v>
      </c>
      <c r="B40" s="1">
        <v>0.09</v>
      </c>
      <c r="C40" s="1">
        <v>113</v>
      </c>
    </row>
    <row r="41" spans="1:3" x14ac:dyDescent="0.5">
      <c r="A41" s="1" t="s">
        <v>131</v>
      </c>
      <c r="B41" s="1">
        <v>0.06</v>
      </c>
      <c r="C41" s="1">
        <v>115</v>
      </c>
    </row>
    <row r="42" spans="1:3" x14ac:dyDescent="0.5">
      <c r="A42" s="1" t="s">
        <v>226</v>
      </c>
      <c r="B42" s="1">
        <v>8.49</v>
      </c>
      <c r="C42" s="1">
        <v>10057</v>
      </c>
    </row>
    <row r="43" spans="1:3" x14ac:dyDescent="0.5">
      <c r="A43" s="1" t="s">
        <v>135</v>
      </c>
      <c r="B43" s="1">
        <v>52.26</v>
      </c>
      <c r="C43" s="1">
        <v>105780</v>
      </c>
    </row>
    <row r="44" spans="1:3" x14ac:dyDescent="0.5">
      <c r="A44" s="1" t="s">
        <v>26</v>
      </c>
      <c r="B44" s="1">
        <v>0.34</v>
      </c>
      <c r="C44" s="1">
        <v>869</v>
      </c>
    </row>
    <row r="45" spans="1:3" x14ac:dyDescent="0.5">
      <c r="A45" s="1" t="s">
        <v>473</v>
      </c>
      <c r="B45" s="1">
        <v>12.549999999999999</v>
      </c>
      <c r="C45" s="1">
        <v>17324</v>
      </c>
    </row>
    <row r="46" spans="1:3" x14ac:dyDescent="0.5">
      <c r="A46" s="1" t="s">
        <v>493</v>
      </c>
      <c r="B46" s="1">
        <v>56.55</v>
      </c>
      <c r="C46" s="1">
        <v>43260</v>
      </c>
    </row>
    <row r="47" spans="1:3" x14ac:dyDescent="0.5">
      <c r="A47" s="1" t="s">
        <v>714</v>
      </c>
      <c r="B47" s="1">
        <v>27.38</v>
      </c>
      <c r="C47" s="1">
        <v>36532</v>
      </c>
    </row>
    <row r="48" spans="1:3" x14ac:dyDescent="0.5">
      <c r="A48" s="1" t="s">
        <v>13</v>
      </c>
      <c r="B48" s="1">
        <v>0.19</v>
      </c>
      <c r="C48" s="1">
        <v>328</v>
      </c>
    </row>
    <row r="49" spans="1:3" x14ac:dyDescent="0.5">
      <c r="A49" s="1" t="s">
        <v>734</v>
      </c>
      <c r="B49" s="1">
        <v>39.93</v>
      </c>
      <c r="C49" s="1">
        <v>57198</v>
      </c>
    </row>
    <row r="50" spans="1:3" x14ac:dyDescent="0.5">
      <c r="A50" s="1" t="s">
        <v>731</v>
      </c>
      <c r="B50" s="1">
        <v>0.04</v>
      </c>
      <c r="C50" s="1">
        <v>56</v>
      </c>
    </row>
    <row r="51" spans="1:3" x14ac:dyDescent="0.5">
      <c r="A51" s="1" t="s">
        <v>641</v>
      </c>
      <c r="B51" s="1">
        <v>0.04</v>
      </c>
      <c r="C51" s="1">
        <v>45</v>
      </c>
    </row>
    <row r="52" spans="1:3" x14ac:dyDescent="0.5">
      <c r="A52" s="1" t="s">
        <v>462</v>
      </c>
      <c r="B52" s="1">
        <v>0.09</v>
      </c>
      <c r="C52" s="1">
        <v>55</v>
      </c>
    </row>
    <row r="53" spans="1:3" x14ac:dyDescent="0.5">
      <c r="A53" s="1" t="s">
        <v>230</v>
      </c>
      <c r="B53" s="1">
        <v>0.1</v>
      </c>
      <c r="C53" s="1">
        <v>123</v>
      </c>
    </row>
    <row r="54" spans="1:3" x14ac:dyDescent="0.5">
      <c r="A54" s="1" t="s">
        <v>615</v>
      </c>
      <c r="B54" s="1">
        <v>45.79</v>
      </c>
      <c r="C54" s="1">
        <v>57825</v>
      </c>
    </row>
    <row r="55" spans="1:3" x14ac:dyDescent="0.5">
      <c r="A55" s="1" t="s">
        <v>463</v>
      </c>
      <c r="B55" s="1">
        <v>0.12</v>
      </c>
      <c r="C55" s="1">
        <v>72</v>
      </c>
    </row>
    <row r="56" spans="1:3" x14ac:dyDescent="0.5">
      <c r="A56" s="1" t="s">
        <v>653</v>
      </c>
      <c r="B56" s="1">
        <v>0.04</v>
      </c>
      <c r="C56" s="1">
        <v>48</v>
      </c>
    </row>
    <row r="57" spans="1:3" x14ac:dyDescent="0.5">
      <c r="A57" s="1" t="s">
        <v>376</v>
      </c>
      <c r="B57" s="1">
        <v>0.09</v>
      </c>
      <c r="C57" s="1">
        <v>131</v>
      </c>
    </row>
    <row r="58" spans="1:3" x14ac:dyDescent="0.5">
      <c r="A58" s="1" t="s">
        <v>597</v>
      </c>
      <c r="B58" s="1">
        <v>6.08</v>
      </c>
      <c r="C58" s="1">
        <v>12739</v>
      </c>
    </row>
    <row r="59" spans="1:3" x14ac:dyDescent="0.5">
      <c r="A59" s="1" t="s">
        <v>582</v>
      </c>
      <c r="B59" s="1">
        <v>1.51</v>
      </c>
      <c r="C59" s="1">
        <v>3145</v>
      </c>
    </row>
    <row r="60" spans="1:3" x14ac:dyDescent="0.5">
      <c r="A60" s="1" t="s">
        <v>538</v>
      </c>
      <c r="B60" s="1">
        <v>0.31</v>
      </c>
      <c r="C60" s="1">
        <v>302</v>
      </c>
    </row>
    <row r="61" spans="1:3" x14ac:dyDescent="0.5">
      <c r="A61" s="1" t="s">
        <v>95</v>
      </c>
      <c r="B61" s="1">
        <v>0.1</v>
      </c>
      <c r="C61" s="1">
        <v>158</v>
      </c>
    </row>
    <row r="62" spans="1:3" x14ac:dyDescent="0.5">
      <c r="A62" s="1" t="s">
        <v>446</v>
      </c>
      <c r="B62" s="1">
        <v>0.03</v>
      </c>
      <c r="C62" s="1">
        <v>21</v>
      </c>
    </row>
    <row r="63" spans="1:3" x14ac:dyDescent="0.5">
      <c r="A63" s="1" t="s">
        <v>8</v>
      </c>
      <c r="B63" s="1">
        <v>3.88</v>
      </c>
      <c r="C63" s="1">
        <v>6782</v>
      </c>
    </row>
    <row r="64" spans="1:3" x14ac:dyDescent="0.5">
      <c r="A64" s="1" t="s">
        <v>442</v>
      </c>
      <c r="B64" s="1">
        <v>42.18</v>
      </c>
      <c r="C64" s="1">
        <v>25999</v>
      </c>
    </row>
    <row r="65" spans="1:3" x14ac:dyDescent="0.5">
      <c r="A65" s="1" t="s">
        <v>747</v>
      </c>
      <c r="B65" s="1">
        <v>1.86</v>
      </c>
      <c r="C65" s="1">
        <v>3086</v>
      </c>
    </row>
    <row r="66" spans="1:3" x14ac:dyDescent="0.5">
      <c r="A66" s="1" t="s">
        <v>391</v>
      </c>
      <c r="B66" s="1">
        <v>0.12</v>
      </c>
      <c r="C66" s="1">
        <v>345</v>
      </c>
    </row>
    <row r="67" spans="1:3" x14ac:dyDescent="0.5">
      <c r="A67" s="1" t="s">
        <v>673</v>
      </c>
      <c r="B67" s="1">
        <v>53.94</v>
      </c>
      <c r="C67" s="1">
        <v>56858</v>
      </c>
    </row>
    <row r="68" spans="1:3" x14ac:dyDescent="0.5">
      <c r="A68" s="1" t="s">
        <v>756</v>
      </c>
      <c r="B68" s="1">
        <v>0.12</v>
      </c>
      <c r="C68" s="1">
        <v>236</v>
      </c>
    </row>
    <row r="69" spans="1:3" x14ac:dyDescent="0.5">
      <c r="A69" s="1" t="s">
        <v>625</v>
      </c>
      <c r="B69" s="1">
        <v>0.15</v>
      </c>
      <c r="C69" s="1">
        <v>188</v>
      </c>
    </row>
    <row r="70" spans="1:3" x14ac:dyDescent="0.5">
      <c r="A70" s="1" t="s">
        <v>231</v>
      </c>
      <c r="B70" s="1">
        <v>0.16</v>
      </c>
      <c r="C70" s="1">
        <v>184</v>
      </c>
    </row>
    <row r="71" spans="1:3" x14ac:dyDescent="0.5">
      <c r="A71" s="1" t="s">
        <v>700</v>
      </c>
      <c r="B71" s="1">
        <v>0.12</v>
      </c>
      <c r="C71" s="1">
        <v>158</v>
      </c>
    </row>
    <row r="72" spans="1:3" x14ac:dyDescent="0.5">
      <c r="A72" s="1" t="s">
        <v>327</v>
      </c>
      <c r="B72" s="1">
        <v>55.32</v>
      </c>
      <c r="C72" s="1">
        <v>69043</v>
      </c>
    </row>
    <row r="73" spans="1:3" x14ac:dyDescent="0.5">
      <c r="A73" s="1" t="s">
        <v>765</v>
      </c>
      <c r="B73" s="1">
        <v>0.23</v>
      </c>
      <c r="C73" s="1">
        <v>457</v>
      </c>
    </row>
    <row r="74" spans="1:3" x14ac:dyDescent="0.5">
      <c r="A74" s="1" t="s">
        <v>434</v>
      </c>
      <c r="B74" s="1">
        <v>0.31</v>
      </c>
      <c r="C74" s="1">
        <v>149</v>
      </c>
    </row>
    <row r="75" spans="1:3" x14ac:dyDescent="0.5">
      <c r="A75" s="1" t="s">
        <v>478</v>
      </c>
      <c r="B75" s="1">
        <v>0.2</v>
      </c>
      <c r="C75" s="1">
        <v>171</v>
      </c>
    </row>
    <row r="76" spans="1:3" x14ac:dyDescent="0.5">
      <c r="A76" s="1" t="s">
        <v>217</v>
      </c>
      <c r="B76" s="1">
        <v>54.1</v>
      </c>
      <c r="C76" s="1">
        <v>52108</v>
      </c>
    </row>
    <row r="77" spans="1:3" x14ac:dyDescent="0.5">
      <c r="A77" s="1" t="s">
        <v>102</v>
      </c>
      <c r="B77" s="1">
        <v>0.11</v>
      </c>
      <c r="C77" s="1">
        <v>213</v>
      </c>
    </row>
    <row r="78" spans="1:3" x14ac:dyDescent="0.5">
      <c r="A78" s="1" t="s">
        <v>385</v>
      </c>
      <c r="B78" s="1">
        <v>0.12</v>
      </c>
      <c r="C78" s="1">
        <v>172</v>
      </c>
    </row>
    <row r="79" spans="1:3" x14ac:dyDescent="0.5">
      <c r="A79" s="1" t="s">
        <v>278</v>
      </c>
      <c r="B79" s="1">
        <v>1.62</v>
      </c>
      <c r="C79" s="1">
        <v>2562</v>
      </c>
    </row>
    <row r="80" spans="1:3" x14ac:dyDescent="0.5">
      <c r="A80" s="1" t="s">
        <v>321</v>
      </c>
      <c r="B80" s="1">
        <v>0.31</v>
      </c>
      <c r="C80" s="1">
        <v>301</v>
      </c>
    </row>
    <row r="81" spans="1:3" x14ac:dyDescent="0.5">
      <c r="A81" s="1" t="s">
        <v>686</v>
      </c>
      <c r="B81" s="1">
        <v>7.0000000000000007E-2</v>
      </c>
      <c r="C81" s="1">
        <v>87</v>
      </c>
    </row>
    <row r="82" spans="1:3" x14ac:dyDescent="0.5">
      <c r="A82" s="1" t="s">
        <v>249</v>
      </c>
      <c r="B82" s="1">
        <v>12.19</v>
      </c>
      <c r="C82" s="1">
        <v>10295</v>
      </c>
    </row>
    <row r="83" spans="1:3" x14ac:dyDescent="0.5">
      <c r="A83" s="1" t="s">
        <v>526</v>
      </c>
      <c r="B83" s="1">
        <v>1.64</v>
      </c>
      <c r="C83" s="1">
        <v>2581</v>
      </c>
    </row>
    <row r="84" spans="1:3" x14ac:dyDescent="0.5">
      <c r="A84" s="1" t="s">
        <v>560</v>
      </c>
      <c r="B84" s="1">
        <v>48.8</v>
      </c>
      <c r="C84" s="1">
        <v>52154</v>
      </c>
    </row>
    <row r="85" spans="1:3" x14ac:dyDescent="0.5">
      <c r="A85" s="1" t="s">
        <v>746</v>
      </c>
      <c r="B85" s="1">
        <v>0.2</v>
      </c>
      <c r="C85" s="1">
        <v>339</v>
      </c>
    </row>
    <row r="86" spans="1:3" x14ac:dyDescent="0.5">
      <c r="A86" s="1" t="s">
        <v>629</v>
      </c>
      <c r="B86" s="1">
        <v>33.17</v>
      </c>
      <c r="C86" s="1">
        <v>45988</v>
      </c>
    </row>
    <row r="87" spans="1:3" x14ac:dyDescent="0.5">
      <c r="A87" s="1" t="s">
        <v>279</v>
      </c>
      <c r="B87" s="1">
        <v>0.78</v>
      </c>
      <c r="C87" s="1">
        <v>851</v>
      </c>
    </row>
    <row r="88" spans="1:3" x14ac:dyDescent="0.5">
      <c r="A88" s="1" t="s">
        <v>220</v>
      </c>
      <c r="B88" s="1">
        <v>0.03</v>
      </c>
      <c r="C88" s="1">
        <v>33</v>
      </c>
    </row>
    <row r="89" spans="1:3" x14ac:dyDescent="0.5">
      <c r="A89" s="1" t="s">
        <v>104</v>
      </c>
      <c r="B89" s="1">
        <v>0.06</v>
      </c>
      <c r="C89" s="1">
        <v>114</v>
      </c>
    </row>
    <row r="90" spans="1:3" x14ac:dyDescent="0.5">
      <c r="A90" s="1" t="s">
        <v>80</v>
      </c>
      <c r="B90" s="1">
        <v>0.06</v>
      </c>
      <c r="C90" s="1">
        <v>64</v>
      </c>
    </row>
    <row r="91" spans="1:3" x14ac:dyDescent="0.5">
      <c r="A91" s="1" t="s">
        <v>638</v>
      </c>
      <c r="B91" s="1">
        <v>42.98</v>
      </c>
      <c r="C91" s="1">
        <v>54316</v>
      </c>
    </row>
    <row r="92" spans="1:3" x14ac:dyDescent="0.5">
      <c r="A92" s="1" t="s">
        <v>117</v>
      </c>
      <c r="B92" s="1">
        <v>0.16</v>
      </c>
      <c r="C92" s="1">
        <v>304</v>
      </c>
    </row>
    <row r="93" spans="1:3" x14ac:dyDescent="0.5">
      <c r="A93" s="1" t="s">
        <v>153</v>
      </c>
      <c r="B93" s="1">
        <v>0.21000000000000002</v>
      </c>
      <c r="C93" s="1">
        <v>222</v>
      </c>
    </row>
    <row r="94" spans="1:3" x14ac:dyDescent="0.5">
      <c r="A94" s="1" t="s">
        <v>532</v>
      </c>
      <c r="B94" s="1">
        <v>0.6</v>
      </c>
      <c r="C94" s="1">
        <v>947</v>
      </c>
    </row>
    <row r="95" spans="1:3" x14ac:dyDescent="0.5">
      <c r="A95" s="1" t="s">
        <v>137</v>
      </c>
      <c r="B95" s="1">
        <v>41.45</v>
      </c>
      <c r="C95" s="1">
        <v>83909</v>
      </c>
    </row>
    <row r="96" spans="1:3" x14ac:dyDescent="0.5">
      <c r="A96" s="1" t="s">
        <v>514</v>
      </c>
      <c r="B96" s="1">
        <v>8.39</v>
      </c>
      <c r="C96" s="1">
        <v>9731</v>
      </c>
    </row>
    <row r="97" spans="1:3" x14ac:dyDescent="0.5">
      <c r="A97" s="1" t="s">
        <v>184</v>
      </c>
      <c r="B97" s="1">
        <v>33.93</v>
      </c>
      <c r="C97" s="1">
        <v>38605</v>
      </c>
    </row>
    <row r="98" spans="1:3" x14ac:dyDescent="0.5">
      <c r="A98" s="1" t="s">
        <v>256</v>
      </c>
      <c r="B98" s="1">
        <v>0.04</v>
      </c>
      <c r="C98" s="1">
        <v>35</v>
      </c>
    </row>
    <row r="99" spans="1:3" x14ac:dyDescent="0.5">
      <c r="A99" s="1" t="s">
        <v>406</v>
      </c>
      <c r="B99" s="1">
        <v>0.05</v>
      </c>
      <c r="C99" s="1">
        <v>93</v>
      </c>
    </row>
    <row r="100" spans="1:3" x14ac:dyDescent="0.5">
      <c r="A100" s="1" t="s">
        <v>489</v>
      </c>
      <c r="B100" s="1">
        <v>0.17</v>
      </c>
      <c r="C100" s="1">
        <v>144</v>
      </c>
    </row>
    <row r="101" spans="1:3" x14ac:dyDescent="0.5">
      <c r="A101" s="1" t="s">
        <v>466</v>
      </c>
      <c r="B101" s="1">
        <v>0.02</v>
      </c>
      <c r="C101" s="1">
        <v>11</v>
      </c>
    </row>
    <row r="102" spans="1:3" x14ac:dyDescent="0.5">
      <c r="A102" s="1" t="s">
        <v>664</v>
      </c>
      <c r="B102" s="1">
        <v>0.17</v>
      </c>
      <c r="C102" s="1">
        <v>217</v>
      </c>
    </row>
    <row r="103" spans="1:3" x14ac:dyDescent="0.5">
      <c r="A103" s="1" t="s">
        <v>729</v>
      </c>
      <c r="B103" s="1">
        <v>3.48</v>
      </c>
      <c r="C103" s="1">
        <v>4883</v>
      </c>
    </row>
    <row r="104" spans="1:3" x14ac:dyDescent="0.5">
      <c r="A104" s="1" t="s">
        <v>737</v>
      </c>
      <c r="B104" s="1">
        <v>0.06</v>
      </c>
      <c r="C104" s="1">
        <v>93</v>
      </c>
    </row>
    <row r="105" spans="1:3" x14ac:dyDescent="0.5">
      <c r="A105" s="1" t="s">
        <v>431</v>
      </c>
      <c r="B105" s="1">
        <v>42.48</v>
      </c>
      <c r="C105" s="1">
        <v>20162</v>
      </c>
    </row>
    <row r="106" spans="1:3" x14ac:dyDescent="0.5">
      <c r="A106" s="1" t="s">
        <v>475</v>
      </c>
      <c r="B106" s="1">
        <v>0.14000000000000001</v>
      </c>
      <c r="C106" s="1">
        <v>119</v>
      </c>
    </row>
    <row r="107" spans="1:3" x14ac:dyDescent="0.5">
      <c r="A107" s="1" t="s">
        <v>56</v>
      </c>
      <c r="B107" s="1">
        <v>0.04</v>
      </c>
      <c r="C107" s="1">
        <v>50</v>
      </c>
    </row>
    <row r="108" spans="1:3" x14ac:dyDescent="0.5">
      <c r="A108" s="1" t="s">
        <v>312</v>
      </c>
      <c r="B108" s="1">
        <v>0.55000000000000004</v>
      </c>
      <c r="C108" s="1">
        <v>569</v>
      </c>
    </row>
    <row r="109" spans="1:3" x14ac:dyDescent="0.5">
      <c r="A109" s="1" t="s">
        <v>750</v>
      </c>
      <c r="B109" s="1">
        <v>0.09</v>
      </c>
      <c r="C109" s="1">
        <v>145</v>
      </c>
    </row>
    <row r="110" spans="1:3" x14ac:dyDescent="0.5">
      <c r="A110" s="1" t="s">
        <v>517</v>
      </c>
      <c r="B110" s="1">
        <v>45.18</v>
      </c>
      <c r="C110" s="1">
        <v>74230</v>
      </c>
    </row>
    <row r="111" spans="1:3" x14ac:dyDescent="0.5">
      <c r="A111" s="1" t="s">
        <v>516</v>
      </c>
      <c r="B111" s="1">
        <v>0.46</v>
      </c>
      <c r="C111" s="1">
        <v>750</v>
      </c>
    </row>
    <row r="112" spans="1:3" x14ac:dyDescent="0.5">
      <c r="A112" s="1" t="s">
        <v>589</v>
      </c>
      <c r="B112" s="1">
        <v>0.05</v>
      </c>
      <c r="C112" s="1">
        <v>107</v>
      </c>
    </row>
    <row r="113" spans="1:3" x14ac:dyDescent="0.5">
      <c r="A113" s="1" t="s">
        <v>17</v>
      </c>
      <c r="B113" s="1">
        <v>0.14000000000000001</v>
      </c>
      <c r="C113" s="1">
        <v>242</v>
      </c>
    </row>
    <row r="114" spans="1:3" x14ac:dyDescent="0.5">
      <c r="A114" s="1" t="s">
        <v>239</v>
      </c>
      <c r="B114" s="1">
        <v>0.08</v>
      </c>
      <c r="C114" s="1">
        <v>100</v>
      </c>
    </row>
    <row r="115" spans="1:3" x14ac:dyDescent="0.5">
      <c r="A115" s="1" t="s">
        <v>578</v>
      </c>
      <c r="B115" s="1">
        <v>7.0000000000000007E-2</v>
      </c>
      <c r="C115" s="1">
        <v>86</v>
      </c>
    </row>
    <row r="116" spans="1:3" x14ac:dyDescent="0.5">
      <c r="A116" s="1" t="s">
        <v>333</v>
      </c>
      <c r="B116" s="1">
        <v>0.06</v>
      </c>
      <c r="C116" s="1">
        <v>70</v>
      </c>
    </row>
    <row r="117" spans="1:3" x14ac:dyDescent="0.5">
      <c r="A117" s="1" t="s">
        <v>542</v>
      </c>
      <c r="B117" s="1">
        <v>42.99</v>
      </c>
      <c r="C117" s="1">
        <v>54049</v>
      </c>
    </row>
    <row r="118" spans="1:3" x14ac:dyDescent="0.5">
      <c r="A118" s="1" t="s">
        <v>224</v>
      </c>
      <c r="B118" s="1">
        <v>0.12</v>
      </c>
      <c r="C118" s="1">
        <v>119</v>
      </c>
    </row>
    <row r="119" spans="1:3" x14ac:dyDescent="0.5">
      <c r="A119" s="1" t="s">
        <v>694</v>
      </c>
      <c r="B119" s="1">
        <v>0.09</v>
      </c>
      <c r="C119" s="1">
        <v>149</v>
      </c>
    </row>
    <row r="120" spans="1:3" x14ac:dyDescent="0.5">
      <c r="A120" s="1" t="s">
        <v>485</v>
      </c>
      <c r="B120" s="1">
        <v>0.28000000000000003</v>
      </c>
      <c r="C120" s="1">
        <v>238</v>
      </c>
    </row>
    <row r="121" spans="1:3" x14ac:dyDescent="0.5">
      <c r="A121" s="1" t="s">
        <v>716</v>
      </c>
      <c r="B121" s="1">
        <v>59.21</v>
      </c>
      <c r="C121" s="1">
        <v>79009</v>
      </c>
    </row>
    <row r="122" spans="1:3" x14ac:dyDescent="0.5">
      <c r="A122" s="1" t="s">
        <v>219</v>
      </c>
      <c r="B122" s="1">
        <v>0.39</v>
      </c>
      <c r="C122" s="1">
        <v>372</v>
      </c>
    </row>
    <row r="123" spans="1:3" x14ac:dyDescent="0.5">
      <c r="A123" s="1" t="s">
        <v>411</v>
      </c>
      <c r="B123" s="1">
        <v>7.21</v>
      </c>
      <c r="C123" s="1">
        <v>9409</v>
      </c>
    </row>
    <row r="124" spans="1:3" x14ac:dyDescent="0.5">
      <c r="A124" s="1" t="s">
        <v>646</v>
      </c>
      <c r="B124" s="1">
        <v>0.03</v>
      </c>
      <c r="C124" s="1">
        <v>41</v>
      </c>
    </row>
    <row r="125" spans="1:3" x14ac:dyDescent="0.5">
      <c r="A125" s="1" t="s">
        <v>540</v>
      </c>
      <c r="B125" s="1">
        <v>0.27</v>
      </c>
      <c r="C125" s="1">
        <v>261</v>
      </c>
    </row>
    <row r="126" spans="1:3" x14ac:dyDescent="0.5">
      <c r="A126" s="1" t="s">
        <v>523</v>
      </c>
      <c r="B126" s="1">
        <v>0.1</v>
      </c>
      <c r="C126" s="1">
        <v>167</v>
      </c>
    </row>
    <row r="127" spans="1:3" x14ac:dyDescent="0.5">
      <c r="A127" s="1" t="s">
        <v>633</v>
      </c>
      <c r="B127" s="1">
        <v>0.04</v>
      </c>
      <c r="C127" s="1">
        <v>57</v>
      </c>
    </row>
    <row r="128" spans="1:3" x14ac:dyDescent="0.5">
      <c r="A128" s="1" t="s">
        <v>54</v>
      </c>
      <c r="B128" s="1">
        <v>0.09</v>
      </c>
      <c r="C128" s="1">
        <v>113</v>
      </c>
    </row>
    <row r="129" spans="1:3" x14ac:dyDescent="0.5">
      <c r="A129" s="1" t="s">
        <v>564</v>
      </c>
      <c r="B129" s="1">
        <v>0.16</v>
      </c>
      <c r="C129" s="1">
        <v>174</v>
      </c>
    </row>
    <row r="130" spans="1:3" x14ac:dyDescent="0.5">
      <c r="A130" s="1" t="s">
        <v>157</v>
      </c>
      <c r="B130" s="1">
        <v>0.61</v>
      </c>
      <c r="C130" s="1">
        <v>736</v>
      </c>
    </row>
    <row r="131" spans="1:3" x14ac:dyDescent="0.5">
      <c r="A131" s="1" t="s">
        <v>648</v>
      </c>
      <c r="B131" s="1">
        <v>0.08</v>
      </c>
      <c r="C131" s="1">
        <v>107</v>
      </c>
    </row>
    <row r="132" spans="1:3" x14ac:dyDescent="0.5">
      <c r="A132" s="1" t="s">
        <v>595</v>
      </c>
      <c r="B132" s="1">
        <v>0.11</v>
      </c>
      <c r="C132" s="1">
        <v>219</v>
      </c>
    </row>
    <row r="133" spans="1:3" x14ac:dyDescent="0.5">
      <c r="A133" s="1" t="s">
        <v>657</v>
      </c>
      <c r="B133" s="1">
        <v>37.67</v>
      </c>
      <c r="C133" s="1">
        <v>47099</v>
      </c>
    </row>
    <row r="134" spans="1:3" x14ac:dyDescent="0.5">
      <c r="A134" s="1" t="s">
        <v>529</v>
      </c>
      <c r="B134" s="1">
        <v>31.83</v>
      </c>
      <c r="C134" s="1">
        <v>50209</v>
      </c>
    </row>
    <row r="135" spans="1:3" x14ac:dyDescent="0.5">
      <c r="A135" s="1" t="s">
        <v>251</v>
      </c>
      <c r="B135" s="1">
        <v>18.23</v>
      </c>
      <c r="C135" s="1">
        <v>15396</v>
      </c>
    </row>
    <row r="136" spans="1:3" x14ac:dyDescent="0.5">
      <c r="A136" s="1" t="s">
        <v>210</v>
      </c>
      <c r="B136" s="1">
        <v>0.18</v>
      </c>
      <c r="C136" s="1">
        <v>190</v>
      </c>
    </row>
    <row r="137" spans="1:3" x14ac:dyDescent="0.5">
      <c r="A137" s="1" t="s">
        <v>97</v>
      </c>
      <c r="B137" s="1">
        <v>0.16</v>
      </c>
      <c r="C137" s="1">
        <v>235</v>
      </c>
    </row>
    <row r="138" spans="1:3" x14ac:dyDescent="0.5">
      <c r="A138" s="1" t="s">
        <v>86</v>
      </c>
      <c r="B138" s="1">
        <v>27.22</v>
      </c>
      <c r="C138" s="1">
        <v>41071</v>
      </c>
    </row>
    <row r="139" spans="1:3" x14ac:dyDescent="0.5">
      <c r="A139" s="1" t="s">
        <v>767</v>
      </c>
      <c r="B139" s="1">
        <v>0.94</v>
      </c>
      <c r="C139" s="1">
        <v>1887</v>
      </c>
    </row>
    <row r="140" spans="1:3" x14ac:dyDescent="0.5">
      <c r="A140" s="1" t="s">
        <v>531</v>
      </c>
      <c r="B140" s="1">
        <v>0.34</v>
      </c>
      <c r="C140" s="1">
        <v>538</v>
      </c>
    </row>
    <row r="141" spans="1:3" x14ac:dyDescent="0.5">
      <c r="A141" s="1" t="s">
        <v>760</v>
      </c>
      <c r="B141" s="1">
        <v>0.19</v>
      </c>
      <c r="C141" s="1">
        <v>391</v>
      </c>
    </row>
    <row r="142" spans="1:3" x14ac:dyDescent="0.5">
      <c r="A142" s="1" t="s">
        <v>303</v>
      </c>
      <c r="B142" s="1">
        <v>2.79</v>
      </c>
      <c r="C142" s="1">
        <v>3198</v>
      </c>
    </row>
    <row r="143" spans="1:3" x14ac:dyDescent="0.5">
      <c r="A143" s="1" t="s">
        <v>169</v>
      </c>
      <c r="B143" s="1">
        <v>45.16</v>
      </c>
      <c r="C143" s="1">
        <v>55752</v>
      </c>
    </row>
    <row r="144" spans="1:3" x14ac:dyDescent="0.5">
      <c r="A144" s="1" t="s">
        <v>335</v>
      </c>
      <c r="B144" s="1">
        <v>0.05</v>
      </c>
      <c r="C144" s="1">
        <v>61</v>
      </c>
    </row>
    <row r="145" spans="1:3" x14ac:dyDescent="0.5">
      <c r="A145" s="1" t="s">
        <v>121</v>
      </c>
      <c r="B145" s="1">
        <v>5.39</v>
      </c>
      <c r="C145" s="1">
        <v>10290</v>
      </c>
    </row>
    <row r="146" spans="1:3" x14ac:dyDescent="0.5">
      <c r="A146" s="1" t="s">
        <v>300</v>
      </c>
      <c r="B146" s="1">
        <v>0.18</v>
      </c>
      <c r="C146" s="1">
        <v>206</v>
      </c>
    </row>
    <row r="147" spans="1:3" x14ac:dyDescent="0.5">
      <c r="A147" s="1" t="s">
        <v>749</v>
      </c>
      <c r="B147" s="1">
        <v>0.12</v>
      </c>
      <c r="C147" s="1">
        <v>195</v>
      </c>
    </row>
    <row r="148" spans="1:3" x14ac:dyDescent="0.5">
      <c r="A148" s="1" t="s">
        <v>524</v>
      </c>
      <c r="B148" s="1">
        <v>0.16</v>
      </c>
      <c r="C148" s="1">
        <v>269</v>
      </c>
    </row>
    <row r="149" spans="1:3" x14ac:dyDescent="0.5">
      <c r="A149" s="1" t="s">
        <v>681</v>
      </c>
      <c r="B149" s="1">
        <v>0.47</v>
      </c>
      <c r="C149" s="1">
        <v>596</v>
      </c>
    </row>
    <row r="150" spans="1:3" x14ac:dyDescent="0.5">
      <c r="A150" s="1" t="s">
        <v>116</v>
      </c>
      <c r="B150" s="1">
        <v>0.09</v>
      </c>
      <c r="C150" s="1">
        <v>216</v>
      </c>
    </row>
    <row r="151" spans="1:3" x14ac:dyDescent="0.5">
      <c r="A151" s="1" t="s">
        <v>32</v>
      </c>
      <c r="B151" s="1">
        <v>0.09</v>
      </c>
      <c r="C151" s="1">
        <v>224</v>
      </c>
    </row>
    <row r="152" spans="1:3" x14ac:dyDescent="0.5">
      <c r="A152" s="1" t="s">
        <v>636</v>
      </c>
      <c r="B152" s="1">
        <v>0.08</v>
      </c>
      <c r="C152" s="1">
        <v>117</v>
      </c>
    </row>
    <row r="153" spans="1:3" x14ac:dyDescent="0.5">
      <c r="A153" s="1" t="s">
        <v>687</v>
      </c>
      <c r="B153" s="1">
        <v>0.04</v>
      </c>
      <c r="C153" s="1">
        <v>52</v>
      </c>
    </row>
    <row r="154" spans="1:3" x14ac:dyDescent="0.5">
      <c r="A154" s="1" t="s">
        <v>426</v>
      </c>
      <c r="B154" s="1">
        <v>0.2</v>
      </c>
      <c r="C154" s="1">
        <v>326</v>
      </c>
    </row>
    <row r="155" spans="1:3" x14ac:dyDescent="0.5">
      <c r="A155" s="1" t="s">
        <v>168</v>
      </c>
      <c r="B155" s="1">
        <v>0.23</v>
      </c>
      <c r="C155" s="1">
        <v>373</v>
      </c>
    </row>
    <row r="156" spans="1:3" x14ac:dyDescent="0.5">
      <c r="A156" s="1" t="s">
        <v>370</v>
      </c>
      <c r="B156" s="1">
        <v>0.11</v>
      </c>
      <c r="C156" s="1">
        <v>206</v>
      </c>
    </row>
    <row r="157" spans="1:3" x14ac:dyDescent="0.5">
      <c r="A157" s="1" t="s">
        <v>544</v>
      </c>
      <c r="B157" s="1">
        <v>42.72</v>
      </c>
      <c r="C157" s="1">
        <v>53705</v>
      </c>
    </row>
    <row r="158" spans="1:3" x14ac:dyDescent="0.5">
      <c r="A158" s="1" t="s">
        <v>521</v>
      </c>
      <c r="B158" s="1">
        <v>0.18</v>
      </c>
      <c r="C158" s="1">
        <v>293</v>
      </c>
    </row>
    <row r="159" spans="1:3" x14ac:dyDescent="0.5">
      <c r="A159" s="1" t="s">
        <v>665</v>
      </c>
      <c r="B159" s="1">
        <v>52.94</v>
      </c>
      <c r="C159" s="1">
        <v>75922</v>
      </c>
    </row>
    <row r="160" spans="1:3" x14ac:dyDescent="0.5">
      <c r="A160" s="1" t="s">
        <v>464</v>
      </c>
      <c r="B160" s="1">
        <v>0.05</v>
      </c>
      <c r="C160" s="1">
        <v>31</v>
      </c>
    </row>
    <row r="161" spans="1:3" x14ac:dyDescent="0.5">
      <c r="A161" s="1" t="s">
        <v>534</v>
      </c>
      <c r="B161" s="1">
        <v>47.62</v>
      </c>
      <c r="C161" s="1">
        <v>46285</v>
      </c>
    </row>
    <row r="162" spans="1:3" x14ac:dyDescent="0.5">
      <c r="A162" s="1" t="s">
        <v>491</v>
      </c>
      <c r="B162" s="1">
        <v>0.19</v>
      </c>
      <c r="C162" s="1">
        <v>162</v>
      </c>
    </row>
    <row r="163" spans="1:3" x14ac:dyDescent="0.5">
      <c r="A163" s="1" t="s">
        <v>456</v>
      </c>
      <c r="B163" s="1">
        <v>0.12</v>
      </c>
      <c r="C163" s="1">
        <v>76</v>
      </c>
    </row>
    <row r="164" spans="1:3" x14ac:dyDescent="0.5">
      <c r="A164" s="1" t="s">
        <v>769</v>
      </c>
      <c r="B164" s="1">
        <v>1.95</v>
      </c>
      <c r="C164" s="1">
        <v>3921</v>
      </c>
    </row>
    <row r="165" spans="1:3" x14ac:dyDescent="0.5">
      <c r="A165" s="1" t="s">
        <v>452</v>
      </c>
      <c r="B165" s="1">
        <v>0.06</v>
      </c>
      <c r="C165" s="1">
        <v>39</v>
      </c>
    </row>
    <row r="166" spans="1:3" x14ac:dyDescent="0.5">
      <c r="A166" s="1" t="s">
        <v>436</v>
      </c>
      <c r="B166" s="1">
        <v>46.74</v>
      </c>
      <c r="C166" s="1">
        <v>45440</v>
      </c>
    </row>
    <row r="167" spans="1:3" x14ac:dyDescent="0.5">
      <c r="A167" s="1" t="s">
        <v>268</v>
      </c>
      <c r="B167" s="1">
        <v>43.65</v>
      </c>
      <c r="C167" s="1">
        <v>44867</v>
      </c>
    </row>
    <row r="168" spans="1:3" x14ac:dyDescent="0.5">
      <c r="A168" s="1" t="s">
        <v>365</v>
      </c>
      <c r="B168" s="1">
        <v>0.09</v>
      </c>
      <c r="C168" s="1">
        <v>185</v>
      </c>
    </row>
    <row r="169" spans="1:3" x14ac:dyDescent="0.5">
      <c r="A169" s="1" t="s">
        <v>470</v>
      </c>
      <c r="B169" s="1">
        <v>8.6</v>
      </c>
      <c r="C169" s="1">
        <v>7350</v>
      </c>
    </row>
    <row r="170" spans="1:3" x14ac:dyDescent="0.5">
      <c r="A170" s="1" t="s">
        <v>605</v>
      </c>
      <c r="B170" s="1">
        <v>7.0000000000000007E-2</v>
      </c>
      <c r="C170" s="1">
        <v>148</v>
      </c>
    </row>
    <row r="171" spans="1:3" x14ac:dyDescent="0.5">
      <c r="A171" s="1" t="s">
        <v>255</v>
      </c>
      <c r="B171" s="1">
        <v>0.04</v>
      </c>
      <c r="C171" s="1">
        <v>31</v>
      </c>
    </row>
    <row r="172" spans="1:3" x14ac:dyDescent="0.5">
      <c r="A172" s="1" t="s">
        <v>377</v>
      </c>
      <c r="B172" s="1">
        <v>0.04</v>
      </c>
      <c r="C172" s="1">
        <v>58</v>
      </c>
    </row>
    <row r="173" spans="1:3" x14ac:dyDescent="0.5">
      <c r="A173" s="1" t="s">
        <v>119</v>
      </c>
      <c r="B173" s="1">
        <v>47.07</v>
      </c>
      <c r="C173" s="1">
        <v>89839</v>
      </c>
    </row>
    <row r="174" spans="1:3" x14ac:dyDescent="0.5">
      <c r="A174" s="1" t="s">
        <v>506</v>
      </c>
      <c r="B174" s="1">
        <v>41.67</v>
      </c>
      <c r="C174" s="1">
        <v>48349</v>
      </c>
    </row>
    <row r="175" spans="1:3" x14ac:dyDescent="0.5">
      <c r="A175" s="1" t="s">
        <v>645</v>
      </c>
      <c r="B175" s="1">
        <v>0.14000000000000001</v>
      </c>
      <c r="C175" s="1">
        <v>173</v>
      </c>
    </row>
    <row r="176" spans="1:3" x14ac:dyDescent="0.5">
      <c r="A176" s="1" t="s">
        <v>22</v>
      </c>
      <c r="B176" s="1">
        <v>0.87</v>
      </c>
      <c r="C176" s="1">
        <v>2214</v>
      </c>
    </row>
    <row r="177" spans="1:3" x14ac:dyDescent="0.5">
      <c r="A177" s="1" t="s">
        <v>553</v>
      </c>
      <c r="B177" s="1">
        <v>6.46</v>
      </c>
      <c r="C177" s="1">
        <v>6711</v>
      </c>
    </row>
    <row r="178" spans="1:3" x14ac:dyDescent="0.5">
      <c r="A178" s="1" t="s">
        <v>728</v>
      </c>
      <c r="B178" s="1">
        <v>38.61</v>
      </c>
      <c r="C178" s="1">
        <v>54208</v>
      </c>
    </row>
    <row r="179" spans="1:3" x14ac:dyDescent="0.5">
      <c r="A179" s="1" t="s">
        <v>289</v>
      </c>
      <c r="B179" s="1">
        <v>0.16</v>
      </c>
      <c r="C179" s="1">
        <v>170</v>
      </c>
    </row>
    <row r="180" spans="1:3" x14ac:dyDescent="0.5">
      <c r="A180" s="1" t="s">
        <v>386</v>
      </c>
      <c r="B180" s="1">
        <v>7.0000000000000007E-2</v>
      </c>
      <c r="C180" s="1">
        <v>104</v>
      </c>
    </row>
    <row r="181" spans="1:3" x14ac:dyDescent="0.5">
      <c r="A181" s="1" t="s">
        <v>423</v>
      </c>
      <c r="B181" s="1">
        <v>0.5</v>
      </c>
      <c r="C181" s="1">
        <v>810</v>
      </c>
    </row>
    <row r="182" spans="1:3" x14ac:dyDescent="0.5">
      <c r="A182" s="1" t="s">
        <v>88</v>
      </c>
      <c r="B182" s="1">
        <v>0.05</v>
      </c>
      <c r="C182" s="1">
        <v>76</v>
      </c>
    </row>
    <row r="183" spans="1:3" x14ac:dyDescent="0.5">
      <c r="A183" s="1" t="s">
        <v>632</v>
      </c>
      <c r="B183" s="1">
        <v>0.1</v>
      </c>
      <c r="C183" s="1">
        <v>137</v>
      </c>
    </row>
    <row r="184" spans="1:3" x14ac:dyDescent="0.5">
      <c r="A184" s="1" t="s">
        <v>735</v>
      </c>
      <c r="B184" s="1">
        <v>53.19</v>
      </c>
      <c r="C184" s="1">
        <v>76192</v>
      </c>
    </row>
    <row r="185" spans="1:3" x14ac:dyDescent="0.5">
      <c r="A185" s="1" t="s">
        <v>283</v>
      </c>
      <c r="B185" s="1">
        <v>0.11</v>
      </c>
      <c r="C185" s="1">
        <v>124</v>
      </c>
    </row>
    <row r="186" spans="1:3" x14ac:dyDescent="0.5">
      <c r="A186" s="1" t="s">
        <v>30</v>
      </c>
      <c r="B186" s="1">
        <v>0.12</v>
      </c>
      <c r="C186" s="1">
        <v>318</v>
      </c>
    </row>
    <row r="187" spans="1:3" x14ac:dyDescent="0.5">
      <c r="A187" s="1" t="s">
        <v>678</v>
      </c>
      <c r="B187" s="1">
        <v>0.15</v>
      </c>
      <c r="C187" s="1">
        <v>156</v>
      </c>
    </row>
    <row r="188" spans="1:3" x14ac:dyDescent="0.5">
      <c r="A188" s="1" t="s">
        <v>539</v>
      </c>
      <c r="B188" s="1">
        <v>0.03</v>
      </c>
      <c r="C188" s="1">
        <v>32</v>
      </c>
    </row>
    <row r="189" spans="1:3" x14ac:dyDescent="0.5">
      <c r="A189" s="1" t="s">
        <v>667</v>
      </c>
      <c r="B189" s="1">
        <v>6.55</v>
      </c>
      <c r="C189" s="1">
        <v>9393</v>
      </c>
    </row>
    <row r="190" spans="1:3" x14ac:dyDescent="0.5">
      <c r="A190" s="1" t="s">
        <v>660</v>
      </c>
      <c r="B190" s="1">
        <v>0.13</v>
      </c>
      <c r="C190" s="1">
        <v>161</v>
      </c>
    </row>
    <row r="191" spans="1:3" x14ac:dyDescent="0.5">
      <c r="A191" s="1" t="s">
        <v>777</v>
      </c>
      <c r="B191" s="1">
        <v>0.24</v>
      </c>
      <c r="C191" s="1">
        <v>491</v>
      </c>
    </row>
    <row r="192" spans="1:3" x14ac:dyDescent="0.5">
      <c r="A192" s="1" t="s">
        <v>468</v>
      </c>
      <c r="B192" s="1">
        <v>0.01</v>
      </c>
      <c r="C192" s="1">
        <v>9</v>
      </c>
    </row>
    <row r="193" spans="1:3" x14ac:dyDescent="0.5">
      <c r="A193" s="1" t="s">
        <v>613</v>
      </c>
      <c r="B193" s="1">
        <v>0.09</v>
      </c>
      <c r="C193" s="1">
        <v>180</v>
      </c>
    </row>
    <row r="194" spans="1:3" x14ac:dyDescent="0.5">
      <c r="A194" s="1" t="s">
        <v>267</v>
      </c>
      <c r="B194" s="1">
        <v>0.08</v>
      </c>
      <c r="C194" s="1">
        <v>77</v>
      </c>
    </row>
    <row r="195" spans="1:3" x14ac:dyDescent="0.5">
      <c r="A195" s="1" t="s">
        <v>171</v>
      </c>
      <c r="B195" s="1">
        <v>3.07</v>
      </c>
      <c r="C195" s="1">
        <v>3784</v>
      </c>
    </row>
    <row r="196" spans="1:3" x14ac:dyDescent="0.5">
      <c r="A196" s="1" t="s">
        <v>330</v>
      </c>
      <c r="B196" s="1">
        <v>2.68</v>
      </c>
      <c r="C196" s="1">
        <v>3345</v>
      </c>
    </row>
    <row r="197" spans="1:3" x14ac:dyDescent="0.5">
      <c r="A197" s="1" t="s">
        <v>118</v>
      </c>
      <c r="B197" s="1">
        <v>0.12</v>
      </c>
      <c r="C197" s="1">
        <v>279</v>
      </c>
    </row>
    <row r="198" spans="1:3" x14ac:dyDescent="0.5">
      <c r="A198" s="1" t="s">
        <v>593</v>
      </c>
      <c r="B198" s="1">
        <v>0.09</v>
      </c>
      <c r="C198" s="1">
        <v>185</v>
      </c>
    </row>
    <row r="199" spans="1:3" x14ac:dyDescent="0.5">
      <c r="A199" s="1" t="s">
        <v>291</v>
      </c>
      <c r="B199" s="1">
        <v>7.0000000000000007E-2</v>
      </c>
      <c r="C199" s="1">
        <v>76</v>
      </c>
    </row>
    <row r="200" spans="1:3" x14ac:dyDescent="0.5">
      <c r="A200" s="1" t="s">
        <v>282</v>
      </c>
      <c r="B200" s="1">
        <v>52.64</v>
      </c>
      <c r="C200" s="1">
        <v>57565</v>
      </c>
    </row>
    <row r="201" spans="1:3" x14ac:dyDescent="0.5">
      <c r="A201" s="1" t="s">
        <v>262</v>
      </c>
      <c r="B201" s="1">
        <v>13.29</v>
      </c>
      <c r="C201" s="1">
        <v>13059</v>
      </c>
    </row>
    <row r="202" spans="1:3" x14ac:dyDescent="0.5">
      <c r="A202" s="1" t="s">
        <v>545</v>
      </c>
      <c r="B202" s="1">
        <v>12.62</v>
      </c>
      <c r="C202" s="1">
        <v>15863</v>
      </c>
    </row>
    <row r="203" spans="1:3" x14ac:dyDescent="0.5">
      <c r="A203" s="1" t="s">
        <v>178</v>
      </c>
      <c r="B203" s="1">
        <v>0.18</v>
      </c>
      <c r="C203" s="1">
        <v>197</v>
      </c>
    </row>
    <row r="204" spans="1:3" x14ac:dyDescent="0.5">
      <c r="A204" s="1" t="s">
        <v>115</v>
      </c>
      <c r="B204" s="1">
        <v>0.68</v>
      </c>
      <c r="C204" s="1">
        <v>1557</v>
      </c>
    </row>
    <row r="205" spans="1:3" x14ac:dyDescent="0.5">
      <c r="A205" s="1" t="s">
        <v>209</v>
      </c>
      <c r="B205" s="1">
        <v>0.98</v>
      </c>
      <c r="C205" s="1">
        <v>1047</v>
      </c>
    </row>
    <row r="206" spans="1:3" x14ac:dyDescent="0.5">
      <c r="A206" s="1" t="s">
        <v>360</v>
      </c>
      <c r="B206" s="1">
        <v>0.14000000000000001</v>
      </c>
      <c r="C206" s="1">
        <v>391</v>
      </c>
    </row>
    <row r="207" spans="1:3" x14ac:dyDescent="0.5">
      <c r="A207" s="1" t="s">
        <v>259</v>
      </c>
      <c r="B207" s="1">
        <v>58</v>
      </c>
      <c r="C207" s="1">
        <v>57004</v>
      </c>
    </row>
    <row r="208" spans="1:3" x14ac:dyDescent="0.5">
      <c r="A208" s="1" t="s">
        <v>588</v>
      </c>
      <c r="B208" s="1">
        <v>0.15</v>
      </c>
      <c r="C208" s="1">
        <v>322</v>
      </c>
    </row>
    <row r="209" spans="1:3" x14ac:dyDescent="0.5">
      <c r="A209" s="1" t="s">
        <v>569</v>
      </c>
      <c r="B209" s="1">
        <v>0.03</v>
      </c>
      <c r="C209" s="1">
        <v>31</v>
      </c>
    </row>
    <row r="210" spans="1:3" x14ac:dyDescent="0.5">
      <c r="A210" s="1" t="s">
        <v>448</v>
      </c>
      <c r="B210" s="1">
        <v>0.01</v>
      </c>
      <c r="C210" s="1">
        <v>4</v>
      </c>
    </row>
    <row r="211" spans="1:3" x14ac:dyDescent="0.5">
      <c r="A211" s="1" t="s">
        <v>742</v>
      </c>
      <c r="B211" s="1">
        <v>3.56</v>
      </c>
      <c r="C211" s="1">
        <v>5905</v>
      </c>
    </row>
    <row r="212" spans="1:3" x14ac:dyDescent="0.5">
      <c r="A212" s="1" t="s">
        <v>519</v>
      </c>
      <c r="B212" s="1">
        <v>0.11</v>
      </c>
      <c r="C212" s="1">
        <v>181</v>
      </c>
    </row>
    <row r="213" spans="1:3" x14ac:dyDescent="0.5">
      <c r="A213" s="1" t="s">
        <v>722</v>
      </c>
      <c r="B213" s="1">
        <v>0.02</v>
      </c>
      <c r="C213" s="1">
        <v>22</v>
      </c>
    </row>
    <row r="214" spans="1:3" x14ac:dyDescent="0.5">
      <c r="A214" s="1" t="s">
        <v>642</v>
      </c>
      <c r="B214" s="1">
        <v>0.03</v>
      </c>
      <c r="C214" s="1">
        <v>32</v>
      </c>
    </row>
    <row r="215" spans="1:3" x14ac:dyDescent="0.5">
      <c r="A215" s="1" t="s">
        <v>293</v>
      </c>
      <c r="B215" s="1">
        <v>15.91</v>
      </c>
      <c r="C215" s="1">
        <v>17958</v>
      </c>
    </row>
    <row r="216" spans="1:3" x14ac:dyDescent="0.5">
      <c r="A216" s="1" t="s">
        <v>679</v>
      </c>
      <c r="B216" s="1">
        <v>3.05</v>
      </c>
      <c r="C216" s="1">
        <v>3862</v>
      </c>
    </row>
    <row r="217" spans="1:3" x14ac:dyDescent="0.5">
      <c r="A217" s="1" t="s">
        <v>450</v>
      </c>
      <c r="B217" s="1">
        <v>0.04</v>
      </c>
      <c r="C217" s="1">
        <v>22</v>
      </c>
    </row>
    <row r="218" spans="1:3" x14ac:dyDescent="0.5">
      <c r="A218" s="1" t="s">
        <v>748</v>
      </c>
      <c r="B218" s="1">
        <v>0.04</v>
      </c>
      <c r="C218" s="1">
        <v>64</v>
      </c>
    </row>
    <row r="219" spans="1:3" x14ac:dyDescent="0.5">
      <c r="A219" s="1" t="s">
        <v>635</v>
      </c>
      <c r="B219" s="1">
        <v>0.08</v>
      </c>
      <c r="C219" s="1">
        <v>108</v>
      </c>
    </row>
    <row r="220" spans="1:3" x14ac:dyDescent="0.5">
      <c r="A220" s="1" t="s">
        <v>583</v>
      </c>
      <c r="B220" s="1">
        <v>0.18</v>
      </c>
      <c r="C220" s="1">
        <v>367</v>
      </c>
    </row>
    <row r="221" spans="1:3" x14ac:dyDescent="0.5">
      <c r="A221" s="1" t="s">
        <v>654</v>
      </c>
      <c r="B221" s="1">
        <v>0.06</v>
      </c>
      <c r="C221" s="1">
        <v>74</v>
      </c>
    </row>
    <row r="222" spans="1:3" x14ac:dyDescent="0.5">
      <c r="A222" s="1" t="s">
        <v>550</v>
      </c>
      <c r="B222" s="1">
        <v>0.16</v>
      </c>
      <c r="C222" s="1">
        <v>195</v>
      </c>
    </row>
    <row r="223" spans="1:3" x14ac:dyDescent="0.5">
      <c r="A223" s="1" t="s">
        <v>174</v>
      </c>
      <c r="B223" s="1">
        <v>0.2</v>
      </c>
      <c r="C223" s="1">
        <v>250</v>
      </c>
    </row>
    <row r="224" spans="1:3" x14ac:dyDescent="0.5">
      <c r="A224" s="1" t="s">
        <v>112</v>
      </c>
      <c r="B224" s="1">
        <v>38.299999999999997</v>
      </c>
      <c r="C224" s="1">
        <v>88040</v>
      </c>
    </row>
    <row r="225" spans="1:3" x14ac:dyDescent="0.5">
      <c r="A225" s="1" t="s">
        <v>147</v>
      </c>
      <c r="B225" s="1">
        <v>7.7</v>
      </c>
      <c r="C225" s="1">
        <v>8688</v>
      </c>
    </row>
    <row r="226" spans="1:3" x14ac:dyDescent="0.5">
      <c r="A226" s="1" t="s">
        <v>96</v>
      </c>
      <c r="B226" s="1">
        <v>0.14000000000000001</v>
      </c>
      <c r="C226" s="1">
        <v>214</v>
      </c>
    </row>
    <row r="227" spans="1:3" x14ac:dyDescent="0.5">
      <c r="A227" s="1" t="s">
        <v>536</v>
      </c>
      <c r="B227" s="1">
        <v>7.38</v>
      </c>
      <c r="C227" s="1">
        <v>7172</v>
      </c>
    </row>
    <row r="228" spans="1:3" x14ac:dyDescent="0.5">
      <c r="A228" s="1" t="s">
        <v>404</v>
      </c>
      <c r="B228" s="1">
        <v>0.12</v>
      </c>
      <c r="C228" s="1">
        <v>214</v>
      </c>
    </row>
    <row r="229" spans="1:3" x14ac:dyDescent="0.5">
      <c r="A229" s="1" t="s">
        <v>604</v>
      </c>
      <c r="B229" s="1">
        <v>0.02</v>
      </c>
      <c r="C229" s="1">
        <v>41</v>
      </c>
    </row>
    <row r="230" spans="1:3" x14ac:dyDescent="0.5">
      <c r="A230" s="1" t="s">
        <v>322</v>
      </c>
      <c r="B230" s="1">
        <v>54.02</v>
      </c>
      <c r="C230" s="1">
        <v>52134</v>
      </c>
    </row>
    <row r="231" spans="1:3" x14ac:dyDescent="0.5">
      <c r="A231" s="1" t="s">
        <v>120</v>
      </c>
      <c r="B231" s="1">
        <v>41.54</v>
      </c>
      <c r="C231" s="1">
        <v>79289</v>
      </c>
    </row>
    <row r="232" spans="1:3" x14ac:dyDescent="0.5">
      <c r="A232" s="1" t="s">
        <v>308</v>
      </c>
      <c r="B232" s="1">
        <v>0.08</v>
      </c>
      <c r="C232" s="1">
        <v>89</v>
      </c>
    </row>
    <row r="233" spans="1:3" x14ac:dyDescent="0.5">
      <c r="A233" s="1" t="s">
        <v>105</v>
      </c>
      <c r="B233" s="1">
        <v>0.03</v>
      </c>
      <c r="C233" s="1">
        <v>56</v>
      </c>
    </row>
    <row r="234" spans="1:3" x14ac:dyDescent="0.5">
      <c r="A234" s="1" t="s">
        <v>151</v>
      </c>
      <c r="B234" s="1">
        <v>0.49</v>
      </c>
      <c r="C234" s="1">
        <v>555</v>
      </c>
    </row>
    <row r="235" spans="1:3" x14ac:dyDescent="0.5">
      <c r="A235" s="1" t="s">
        <v>764</v>
      </c>
      <c r="B235" s="1">
        <v>0.06</v>
      </c>
      <c r="C235" s="1">
        <v>122</v>
      </c>
    </row>
    <row r="236" spans="1:3" x14ac:dyDescent="0.5">
      <c r="A236" s="1" t="s">
        <v>486</v>
      </c>
      <c r="B236" s="1">
        <v>7.96</v>
      </c>
      <c r="C236" s="1">
        <v>6770</v>
      </c>
    </row>
    <row r="237" spans="1:3" x14ac:dyDescent="0.5">
      <c r="A237" s="1" t="s">
        <v>701</v>
      </c>
      <c r="B237" s="1">
        <v>57.44</v>
      </c>
      <c r="C237" s="1">
        <v>82896</v>
      </c>
    </row>
    <row r="238" spans="1:3" x14ac:dyDescent="0.5">
      <c r="A238" s="1" t="s">
        <v>680</v>
      </c>
      <c r="B238" s="1">
        <v>45.54</v>
      </c>
      <c r="C238" s="1">
        <v>57610</v>
      </c>
    </row>
    <row r="239" spans="1:3" x14ac:dyDescent="0.5">
      <c r="A239" s="1" t="s">
        <v>347</v>
      </c>
      <c r="B239" s="1">
        <v>3.09</v>
      </c>
      <c r="C239" s="1">
        <v>8465</v>
      </c>
    </row>
    <row r="240" spans="1:3" x14ac:dyDescent="0.5">
      <c r="A240" s="1" t="s">
        <v>424</v>
      </c>
      <c r="B240" s="1">
        <v>44.95</v>
      </c>
      <c r="C240" s="1">
        <v>73094</v>
      </c>
    </row>
    <row r="241" spans="1:3" x14ac:dyDescent="0.5">
      <c r="A241" s="1" t="s">
        <v>371</v>
      </c>
      <c r="B241" s="1">
        <v>0.1</v>
      </c>
      <c r="C241" s="1">
        <v>196</v>
      </c>
    </row>
    <row r="242" spans="1:3" x14ac:dyDescent="0.5">
      <c r="A242" s="1" t="s">
        <v>200</v>
      </c>
      <c r="B242" s="1">
        <v>0.08</v>
      </c>
      <c r="C242" s="1">
        <v>76</v>
      </c>
    </row>
    <row r="243" spans="1:3" x14ac:dyDescent="0.5">
      <c r="A243" s="1" t="s">
        <v>136</v>
      </c>
      <c r="B243" s="1">
        <v>1.05</v>
      </c>
      <c r="C243" s="1">
        <v>2128</v>
      </c>
    </row>
    <row r="244" spans="1:3" x14ac:dyDescent="0.5">
      <c r="A244" s="1" t="s">
        <v>410</v>
      </c>
      <c r="B244" s="1">
        <v>49.77</v>
      </c>
      <c r="C244" s="1">
        <v>64951</v>
      </c>
    </row>
    <row r="245" spans="1:3" x14ac:dyDescent="0.5">
      <c r="A245" s="1" t="s">
        <v>292</v>
      </c>
      <c r="B245" s="1">
        <v>46.08</v>
      </c>
      <c r="C245" s="1">
        <v>52019</v>
      </c>
    </row>
    <row r="246" spans="1:3" x14ac:dyDescent="0.5">
      <c r="A246" s="1" t="s">
        <v>241</v>
      </c>
      <c r="B246" s="1">
        <v>0.35</v>
      </c>
      <c r="C246" s="1">
        <v>246</v>
      </c>
    </row>
    <row r="247" spans="1:3" x14ac:dyDescent="0.5">
      <c r="A247" s="1" t="s">
        <v>674</v>
      </c>
      <c r="B247" s="1">
        <v>3.28</v>
      </c>
      <c r="C247" s="1">
        <v>3453</v>
      </c>
    </row>
    <row r="248" spans="1:3" x14ac:dyDescent="0.5">
      <c r="A248" s="1" t="s">
        <v>260</v>
      </c>
      <c r="B248" s="1">
        <v>27.66</v>
      </c>
      <c r="C248" s="1">
        <v>27181</v>
      </c>
    </row>
    <row r="249" spans="1:3" x14ac:dyDescent="0.5">
      <c r="A249" s="1" t="s">
        <v>683</v>
      </c>
      <c r="B249" s="1">
        <v>0.11</v>
      </c>
      <c r="C249" s="1">
        <v>145</v>
      </c>
    </row>
    <row r="250" spans="1:3" x14ac:dyDescent="0.5">
      <c r="A250" s="1" t="s">
        <v>409</v>
      </c>
      <c r="B250" s="1">
        <v>0.54</v>
      </c>
      <c r="C250" s="1">
        <v>702</v>
      </c>
    </row>
    <row r="251" spans="1:3" x14ac:dyDescent="0.5">
      <c r="A251" s="1" t="s">
        <v>306</v>
      </c>
      <c r="B251" s="1">
        <v>0.06</v>
      </c>
      <c r="C251" s="1">
        <v>65</v>
      </c>
    </row>
    <row r="252" spans="1:3" x14ac:dyDescent="0.5">
      <c r="A252" s="1" t="s">
        <v>387</v>
      </c>
      <c r="B252" s="1">
        <v>0.41</v>
      </c>
      <c r="C252" s="1">
        <v>1134</v>
      </c>
    </row>
    <row r="253" spans="1:3" x14ac:dyDescent="0.5">
      <c r="A253" s="1" t="s">
        <v>163</v>
      </c>
      <c r="B253" s="1">
        <v>0.1</v>
      </c>
      <c r="C253" s="1">
        <v>162</v>
      </c>
    </row>
    <row r="254" spans="1:3" x14ac:dyDescent="0.5">
      <c r="A254" s="1" t="s">
        <v>602</v>
      </c>
      <c r="B254" s="1">
        <v>0.06</v>
      </c>
      <c r="C254" s="1">
        <v>126</v>
      </c>
    </row>
    <row r="255" spans="1:3" x14ac:dyDescent="0.5">
      <c r="A255" s="1" t="s">
        <v>218</v>
      </c>
      <c r="B255" s="1">
        <v>4.0599999999999996</v>
      </c>
      <c r="C255" s="1">
        <v>3908</v>
      </c>
    </row>
    <row r="256" spans="1:3" x14ac:dyDescent="0.5">
      <c r="A256" s="1" t="s">
        <v>766</v>
      </c>
      <c r="B256" s="1">
        <v>53.39</v>
      </c>
      <c r="C256" s="1">
        <v>107367</v>
      </c>
    </row>
    <row r="257" spans="1:3" x14ac:dyDescent="0.5">
      <c r="A257" s="1" t="s">
        <v>146</v>
      </c>
      <c r="B257" s="1">
        <v>36.909999999999997</v>
      </c>
      <c r="C257" s="1">
        <v>41641</v>
      </c>
    </row>
    <row r="258" spans="1:3" x14ac:dyDescent="0.5">
      <c r="A258" s="1" t="s">
        <v>149</v>
      </c>
      <c r="B258" s="1">
        <v>0.13</v>
      </c>
      <c r="C258" s="1">
        <v>151</v>
      </c>
    </row>
    <row r="259" spans="1:3" x14ac:dyDescent="0.5">
      <c r="A259" s="1" t="s">
        <v>307</v>
      </c>
      <c r="B259" s="1">
        <v>0.2</v>
      </c>
      <c r="C259" s="1">
        <v>225</v>
      </c>
    </row>
    <row r="260" spans="1:3" x14ac:dyDescent="0.5">
      <c r="A260" s="1" t="s">
        <v>193</v>
      </c>
      <c r="B260" s="1">
        <v>57.07</v>
      </c>
      <c r="C260" s="1">
        <v>56869</v>
      </c>
    </row>
    <row r="261" spans="1:3" x14ac:dyDescent="0.5">
      <c r="A261" s="1" t="s">
        <v>515</v>
      </c>
      <c r="B261" s="1">
        <v>48.98</v>
      </c>
      <c r="C261" s="1">
        <v>80469</v>
      </c>
    </row>
    <row r="262" spans="1:3" x14ac:dyDescent="0.5">
      <c r="A262" s="1" t="s">
        <v>331</v>
      </c>
      <c r="B262" s="1">
        <v>0.04</v>
      </c>
      <c r="C262" s="1">
        <v>48</v>
      </c>
    </row>
    <row r="263" spans="1:3" x14ac:dyDescent="0.5">
      <c r="A263" s="1" t="s">
        <v>245</v>
      </c>
      <c r="B263" s="1">
        <v>0.11</v>
      </c>
      <c r="C263" s="1">
        <v>81</v>
      </c>
    </row>
    <row r="264" spans="1:3" x14ac:dyDescent="0.5">
      <c r="A264" s="1" t="s">
        <v>172</v>
      </c>
      <c r="B264" s="1">
        <v>0.14000000000000001</v>
      </c>
      <c r="C264" s="1">
        <v>171</v>
      </c>
    </row>
    <row r="265" spans="1:3" x14ac:dyDescent="0.5">
      <c r="A265" s="1" t="s">
        <v>576</v>
      </c>
      <c r="B265" s="1">
        <v>0.12</v>
      </c>
      <c r="C265" s="1">
        <v>133</v>
      </c>
    </row>
    <row r="266" spans="1:3" x14ac:dyDescent="0.5">
      <c r="A266" s="1" t="s">
        <v>535</v>
      </c>
      <c r="B266" s="1">
        <v>43.27</v>
      </c>
      <c r="C266" s="1">
        <v>42055</v>
      </c>
    </row>
    <row r="267" spans="1:3" x14ac:dyDescent="0.5">
      <c r="A267" s="1" t="s">
        <v>346</v>
      </c>
      <c r="B267" s="1">
        <v>0.97</v>
      </c>
      <c r="C267" s="1">
        <v>2642</v>
      </c>
    </row>
    <row r="268" spans="1:3" x14ac:dyDescent="0.5">
      <c r="A268" s="1" t="s">
        <v>274</v>
      </c>
      <c r="B268" s="1">
        <v>3.97</v>
      </c>
      <c r="C268" s="1">
        <v>4654</v>
      </c>
    </row>
    <row r="269" spans="1:3" x14ac:dyDescent="0.5">
      <c r="A269" s="1" t="s">
        <v>691</v>
      </c>
      <c r="B269" s="1">
        <v>40.880000000000003</v>
      </c>
      <c r="C269" s="1">
        <v>55985</v>
      </c>
    </row>
    <row r="270" spans="1:3" x14ac:dyDescent="0.5">
      <c r="A270" s="1" t="s">
        <v>622</v>
      </c>
      <c r="B270" s="1">
        <v>48</v>
      </c>
      <c r="C270" s="1">
        <v>61792</v>
      </c>
    </row>
    <row r="271" spans="1:3" x14ac:dyDescent="0.5">
      <c r="A271" s="1" t="s">
        <v>502</v>
      </c>
      <c r="B271" s="1">
        <v>7.0000000000000007E-2</v>
      </c>
      <c r="C271" s="1">
        <v>55</v>
      </c>
    </row>
    <row r="272" spans="1:3" x14ac:dyDescent="0.5">
      <c r="A272" s="1" t="s">
        <v>422</v>
      </c>
      <c r="B272" s="1">
        <v>50.45</v>
      </c>
      <c r="C272" s="1">
        <v>82046</v>
      </c>
    </row>
    <row r="273" spans="1:3" x14ac:dyDescent="0.5">
      <c r="A273" s="1" t="s">
        <v>98</v>
      </c>
      <c r="B273" s="1">
        <v>57.43</v>
      </c>
      <c r="C273" s="1">
        <v>106256</v>
      </c>
    </row>
    <row r="274" spans="1:3" x14ac:dyDescent="0.5">
      <c r="A274" s="1" t="s">
        <v>644</v>
      </c>
      <c r="B274" s="1">
        <v>0.04</v>
      </c>
      <c r="C274" s="1">
        <v>46</v>
      </c>
    </row>
    <row r="275" spans="1:3" x14ac:dyDescent="0.5">
      <c r="A275" s="1" t="s">
        <v>744</v>
      </c>
      <c r="B275" s="1">
        <v>1.54</v>
      </c>
      <c r="C275" s="1">
        <v>2562</v>
      </c>
    </row>
    <row r="276" spans="1:3" x14ac:dyDescent="0.5">
      <c r="A276" s="1" t="s">
        <v>355</v>
      </c>
      <c r="B276" s="1">
        <v>0.11</v>
      </c>
      <c r="C276" s="1">
        <v>297</v>
      </c>
    </row>
    <row r="277" spans="1:3" x14ac:dyDescent="0.5">
      <c r="A277" s="1" t="s">
        <v>416</v>
      </c>
      <c r="B277" s="1">
        <v>0.04</v>
      </c>
      <c r="C277" s="1">
        <v>48</v>
      </c>
    </row>
    <row r="278" spans="1:3" x14ac:dyDescent="0.5">
      <c r="A278" s="1" t="s">
        <v>154</v>
      </c>
      <c r="B278" s="1">
        <v>0.06</v>
      </c>
      <c r="C278" s="1">
        <v>70</v>
      </c>
    </row>
    <row r="279" spans="1:3" x14ac:dyDescent="0.5">
      <c r="A279" s="1" t="s">
        <v>237</v>
      </c>
      <c r="B279" s="1">
        <v>7.0000000000000007E-2</v>
      </c>
      <c r="C279" s="1">
        <v>84</v>
      </c>
    </row>
    <row r="280" spans="1:3" x14ac:dyDescent="0.5">
      <c r="A280" s="1" t="s">
        <v>48</v>
      </c>
      <c r="B280" s="1">
        <v>6.88</v>
      </c>
      <c r="C280" s="1">
        <v>8361</v>
      </c>
    </row>
    <row r="281" spans="1:3" x14ac:dyDescent="0.5">
      <c r="A281" s="1" t="s">
        <v>500</v>
      </c>
      <c r="B281" s="1">
        <v>0.1</v>
      </c>
      <c r="C281" s="1">
        <v>76</v>
      </c>
    </row>
    <row r="282" spans="1:3" x14ac:dyDescent="0.5">
      <c r="A282" s="1" t="s">
        <v>234</v>
      </c>
      <c r="B282" s="1">
        <v>0.18</v>
      </c>
      <c r="C282" s="1">
        <v>213</v>
      </c>
    </row>
    <row r="283" spans="1:3" x14ac:dyDescent="0.5">
      <c r="A283" s="1" t="s">
        <v>123</v>
      </c>
      <c r="B283" s="1">
        <v>0.05</v>
      </c>
      <c r="C283" s="1">
        <v>94</v>
      </c>
    </row>
    <row r="284" spans="1:3" x14ac:dyDescent="0.5">
      <c r="A284" s="1" t="s">
        <v>510</v>
      </c>
      <c r="B284" s="1">
        <v>0.16</v>
      </c>
      <c r="C284" s="1">
        <v>181</v>
      </c>
    </row>
    <row r="285" spans="1:3" x14ac:dyDescent="0.5">
      <c r="A285" s="1" t="s">
        <v>508</v>
      </c>
      <c r="B285" s="1">
        <v>40.130000000000003</v>
      </c>
      <c r="C285" s="1">
        <v>46567</v>
      </c>
    </row>
    <row r="286" spans="1:3" x14ac:dyDescent="0.5">
      <c r="A286" s="1" t="s">
        <v>551</v>
      </c>
      <c r="B286" s="1">
        <v>0.11</v>
      </c>
      <c r="C286" s="1">
        <v>136</v>
      </c>
    </row>
    <row r="287" spans="1:3" x14ac:dyDescent="0.5">
      <c r="A287" s="1" t="s">
        <v>164</v>
      </c>
      <c r="B287" s="1">
        <v>0.1</v>
      </c>
      <c r="C287" s="1">
        <v>152</v>
      </c>
    </row>
    <row r="288" spans="1:3" x14ac:dyDescent="0.5">
      <c r="A288" s="1" t="s">
        <v>211</v>
      </c>
      <c r="B288" s="1">
        <v>0.06</v>
      </c>
      <c r="C288" s="1">
        <v>64</v>
      </c>
    </row>
    <row r="289" spans="1:3" x14ac:dyDescent="0.5">
      <c r="A289" s="1" t="s">
        <v>284</v>
      </c>
      <c r="B289" s="1">
        <v>0.03</v>
      </c>
      <c r="C289" s="1">
        <v>35</v>
      </c>
    </row>
    <row r="290" spans="1:3" x14ac:dyDescent="0.5">
      <c r="A290" s="1" t="s">
        <v>482</v>
      </c>
      <c r="B290" s="1">
        <v>0.18</v>
      </c>
      <c r="C290" s="1">
        <v>150</v>
      </c>
    </row>
    <row r="291" spans="1:3" x14ac:dyDescent="0.5">
      <c r="A291" s="1" t="s">
        <v>349</v>
      </c>
      <c r="B291" s="1">
        <v>44.83</v>
      </c>
      <c r="C291" s="1">
        <v>122688</v>
      </c>
    </row>
    <row r="292" spans="1:3" x14ac:dyDescent="0.5">
      <c r="A292" s="1" t="s">
        <v>141</v>
      </c>
      <c r="B292" s="1">
        <v>0.44</v>
      </c>
      <c r="C292" s="1">
        <v>885</v>
      </c>
    </row>
    <row r="293" spans="1:3" x14ac:dyDescent="0.5">
      <c r="A293" s="1" t="s">
        <v>425</v>
      </c>
      <c r="B293" s="1">
        <v>2.89</v>
      </c>
      <c r="C293" s="1">
        <v>4697</v>
      </c>
    </row>
    <row r="294" spans="1:3" x14ac:dyDescent="0.5">
      <c r="A294" s="1" t="s">
        <v>408</v>
      </c>
      <c r="B294" s="1">
        <v>0.12</v>
      </c>
      <c r="C294" s="1">
        <v>225</v>
      </c>
    </row>
    <row r="295" spans="1:3" x14ac:dyDescent="0.5">
      <c r="A295" s="1" t="s">
        <v>24</v>
      </c>
      <c r="B295" s="1">
        <v>7.82</v>
      </c>
      <c r="C295" s="1">
        <v>19920</v>
      </c>
    </row>
    <row r="296" spans="1:3" x14ac:dyDescent="0.5">
      <c r="A296" s="1" t="s">
        <v>363</v>
      </c>
      <c r="B296" s="1">
        <v>0.51</v>
      </c>
      <c r="C296" s="1">
        <v>991</v>
      </c>
    </row>
    <row r="297" spans="1:3" x14ac:dyDescent="0.5">
      <c r="A297" s="1" t="s">
        <v>598</v>
      </c>
      <c r="B297" s="1">
        <v>31.17</v>
      </c>
      <c r="C297" s="1">
        <v>65304</v>
      </c>
    </row>
    <row r="298" spans="1:3" x14ac:dyDescent="0.5">
      <c r="A298" s="1" t="s">
        <v>471</v>
      </c>
      <c r="B298" s="1">
        <v>44.65</v>
      </c>
      <c r="C298" s="1">
        <v>38184</v>
      </c>
    </row>
    <row r="299" spans="1:3" x14ac:dyDescent="0.5">
      <c r="A299" s="1" t="s">
        <v>751</v>
      </c>
      <c r="B299" s="1">
        <v>0.08</v>
      </c>
      <c r="C299" s="1">
        <v>129</v>
      </c>
    </row>
    <row r="300" spans="1:3" x14ac:dyDescent="0.5">
      <c r="A300" s="1" t="s">
        <v>304</v>
      </c>
      <c r="B300" s="1">
        <v>55.86</v>
      </c>
      <c r="C300" s="1">
        <v>64132</v>
      </c>
    </row>
    <row r="301" spans="1:3" x14ac:dyDescent="0.5">
      <c r="A301" s="1" t="s">
        <v>689</v>
      </c>
      <c r="B301" s="1">
        <v>0.63</v>
      </c>
      <c r="C301" s="1">
        <v>867</v>
      </c>
    </row>
    <row r="302" spans="1:3" x14ac:dyDescent="0.5">
      <c r="A302" s="1" t="s">
        <v>407</v>
      </c>
      <c r="B302" s="1">
        <v>0.15000000000000002</v>
      </c>
      <c r="C302" s="1">
        <v>249</v>
      </c>
    </row>
    <row r="303" spans="1:3" x14ac:dyDescent="0.5">
      <c r="A303" s="1" t="s">
        <v>227</v>
      </c>
      <c r="B303" s="1">
        <v>42.12</v>
      </c>
      <c r="C303" s="1">
        <v>49870</v>
      </c>
    </row>
    <row r="304" spans="1:3" x14ac:dyDescent="0.5">
      <c r="A304" s="1" t="s">
        <v>159</v>
      </c>
      <c r="B304" s="1">
        <v>47.25</v>
      </c>
      <c r="C304" s="1">
        <v>75272</v>
      </c>
    </row>
    <row r="305" spans="1:3" x14ac:dyDescent="0.5">
      <c r="A305" s="1" t="s">
        <v>768</v>
      </c>
      <c r="B305" s="1">
        <v>41.78</v>
      </c>
      <c r="C305" s="1">
        <v>84012</v>
      </c>
    </row>
    <row r="306" spans="1:3" x14ac:dyDescent="0.5">
      <c r="A306" s="1" t="s">
        <v>427</v>
      </c>
      <c r="B306" s="1">
        <v>0.14000000000000001</v>
      </c>
      <c r="C306" s="1">
        <v>221</v>
      </c>
    </row>
    <row r="307" spans="1:3" x14ac:dyDescent="0.5">
      <c r="A307" s="1" t="s">
        <v>318</v>
      </c>
      <c r="B307" s="1">
        <v>0.1</v>
      </c>
      <c r="C307" s="1">
        <v>98</v>
      </c>
    </row>
    <row r="308" spans="1:3" x14ac:dyDescent="0.5">
      <c r="A308" s="1" t="s">
        <v>265</v>
      </c>
      <c r="B308" s="1">
        <v>0.04</v>
      </c>
      <c r="C308" s="1">
        <v>38</v>
      </c>
    </row>
    <row r="309" spans="1:3" x14ac:dyDescent="0.5">
      <c r="A309" s="1" t="s">
        <v>600</v>
      </c>
      <c r="B309" s="1">
        <v>0.12</v>
      </c>
      <c r="C309" s="1">
        <v>259</v>
      </c>
    </row>
    <row r="310" spans="1:3" x14ac:dyDescent="0.5">
      <c r="A310" s="1" t="s">
        <v>15</v>
      </c>
      <c r="B310" s="1">
        <v>0.16</v>
      </c>
      <c r="C310" s="1">
        <v>278</v>
      </c>
    </row>
    <row r="311" spans="1:3" x14ac:dyDescent="0.5">
      <c r="A311" s="1" t="s">
        <v>337</v>
      </c>
      <c r="B311" s="1">
        <v>0.06</v>
      </c>
      <c r="C311" s="1">
        <v>80</v>
      </c>
    </row>
    <row r="312" spans="1:3" x14ac:dyDescent="0.5">
      <c r="A312" s="1" t="s">
        <v>738</v>
      </c>
      <c r="B312" s="1">
        <v>0.14000000000000001</v>
      </c>
      <c r="C312" s="1">
        <v>201</v>
      </c>
    </row>
    <row r="313" spans="1:3" x14ac:dyDescent="0.5">
      <c r="A313" s="1" t="s">
        <v>73</v>
      </c>
      <c r="B313" s="1">
        <v>0.02</v>
      </c>
      <c r="C313" s="1">
        <v>18</v>
      </c>
    </row>
    <row r="314" spans="1:3" x14ac:dyDescent="0.5">
      <c r="A314" s="1" t="s">
        <v>235</v>
      </c>
      <c r="B314" s="1">
        <v>0.21</v>
      </c>
      <c r="C314" s="1">
        <v>247</v>
      </c>
    </row>
    <row r="315" spans="1:3" x14ac:dyDescent="0.5">
      <c r="A315" s="1" t="s">
        <v>492</v>
      </c>
      <c r="B315" s="1">
        <v>0.23</v>
      </c>
      <c r="C315" s="1">
        <v>192</v>
      </c>
    </row>
    <row r="316" spans="1:3" x14ac:dyDescent="0.5">
      <c r="A316" s="1" t="s">
        <v>379</v>
      </c>
      <c r="B316" s="1">
        <v>0.05</v>
      </c>
      <c r="C316" s="1">
        <v>76</v>
      </c>
    </row>
    <row r="317" spans="1:3" x14ac:dyDescent="0.5">
      <c r="A317" s="1" t="s">
        <v>258</v>
      </c>
      <c r="B317" s="1">
        <v>0.04</v>
      </c>
      <c r="C317" s="1">
        <v>31</v>
      </c>
    </row>
    <row r="318" spans="1:3" x14ac:dyDescent="0.5">
      <c r="A318" s="1" t="s">
        <v>741</v>
      </c>
      <c r="B318" s="1">
        <v>0.09</v>
      </c>
      <c r="C318" s="1">
        <v>124</v>
      </c>
    </row>
    <row r="319" spans="1:3" x14ac:dyDescent="0.5">
      <c r="A319" s="1" t="s">
        <v>257</v>
      </c>
      <c r="B319" s="1">
        <v>7.0000000000000007E-2</v>
      </c>
      <c r="C319" s="1">
        <v>60</v>
      </c>
    </row>
    <row r="320" spans="1:3" x14ac:dyDescent="0.5">
      <c r="A320" s="1" t="s">
        <v>246</v>
      </c>
      <c r="B320" s="1">
        <v>0.06</v>
      </c>
      <c r="C320" s="1">
        <v>45</v>
      </c>
    </row>
    <row r="321" spans="1:3" x14ac:dyDescent="0.5">
      <c r="A321" s="1" t="s">
        <v>316</v>
      </c>
      <c r="B321" s="1">
        <v>0.08</v>
      </c>
      <c r="C321" s="1">
        <v>83</v>
      </c>
    </row>
    <row r="322" spans="1:3" x14ac:dyDescent="0.5">
      <c r="A322" s="1" t="s">
        <v>755</v>
      </c>
      <c r="B322" s="1">
        <v>42.36</v>
      </c>
      <c r="C322" s="1">
        <v>85215</v>
      </c>
    </row>
    <row r="323" spans="1:3" x14ac:dyDescent="0.5">
      <c r="A323" s="1" t="s">
        <v>736</v>
      </c>
      <c r="B323" s="1">
        <v>6.14</v>
      </c>
      <c r="C323" s="1">
        <v>8797</v>
      </c>
    </row>
    <row r="324" spans="1:3" x14ac:dyDescent="0.5">
      <c r="A324" s="1" t="s">
        <v>601</v>
      </c>
      <c r="B324" s="1">
        <v>0.04</v>
      </c>
      <c r="C324" s="1">
        <v>83</v>
      </c>
    </row>
    <row r="325" spans="1:3" x14ac:dyDescent="0.5">
      <c r="A325" s="1" t="s">
        <v>252</v>
      </c>
      <c r="B325" s="1">
        <v>7.0000000000000007E-2</v>
      </c>
      <c r="C325" s="1">
        <v>56</v>
      </c>
    </row>
    <row r="326" spans="1:3" x14ac:dyDescent="0.5">
      <c r="A326" s="1" t="s">
        <v>717</v>
      </c>
      <c r="B326" s="1">
        <v>0.08</v>
      </c>
      <c r="C326" s="1">
        <v>107</v>
      </c>
    </row>
    <row r="327" spans="1:3" x14ac:dyDescent="0.5">
      <c r="A327" s="1" t="s">
        <v>340</v>
      </c>
      <c r="B327" s="1">
        <v>7.0000000000000007E-2</v>
      </c>
      <c r="C327" s="1">
        <v>91</v>
      </c>
    </row>
    <row r="328" spans="1:3" x14ac:dyDescent="0.5">
      <c r="A328" s="1" t="s">
        <v>725</v>
      </c>
      <c r="B328" s="1">
        <v>0.05</v>
      </c>
      <c r="C328" s="1">
        <v>72</v>
      </c>
    </row>
    <row r="329" spans="1:3" x14ac:dyDescent="0.5">
      <c r="A329" s="1" t="s">
        <v>757</v>
      </c>
      <c r="B329" s="1">
        <v>0.08</v>
      </c>
      <c r="C329" s="1">
        <v>151</v>
      </c>
    </row>
    <row r="330" spans="1:3" x14ac:dyDescent="0.5">
      <c r="A330" s="1" t="s">
        <v>639</v>
      </c>
      <c r="B330" s="1">
        <v>0.31</v>
      </c>
      <c r="C330" s="1">
        <v>388</v>
      </c>
    </row>
    <row r="331" spans="1:3" x14ac:dyDescent="0.5">
      <c r="A331" s="1" t="s">
        <v>543</v>
      </c>
      <c r="B331" s="1">
        <v>0.63</v>
      </c>
      <c r="C331" s="1">
        <v>796</v>
      </c>
    </row>
    <row r="332" spans="1:3" x14ac:dyDescent="0.5">
      <c r="A332" s="1" t="s">
        <v>723</v>
      </c>
      <c r="B332" s="1">
        <v>0.02</v>
      </c>
      <c r="C332" s="1">
        <v>29</v>
      </c>
    </row>
    <row r="333" spans="1:3" x14ac:dyDescent="0.5">
      <c r="A333" s="1" t="s">
        <v>266</v>
      </c>
      <c r="B333" s="1">
        <v>7.0000000000000007E-2</v>
      </c>
      <c r="C333" s="1">
        <v>72</v>
      </c>
    </row>
    <row r="334" spans="1:3" x14ac:dyDescent="0.5">
      <c r="A334" s="1" t="s">
        <v>759</v>
      </c>
      <c r="B334" s="1">
        <v>16.64</v>
      </c>
      <c r="C334" s="1">
        <v>33474</v>
      </c>
    </row>
    <row r="335" spans="1:3" x14ac:dyDescent="0.5">
      <c r="A335" s="1" t="s">
        <v>189</v>
      </c>
      <c r="B335" s="1">
        <v>0.09</v>
      </c>
      <c r="C335" s="1">
        <v>98</v>
      </c>
    </row>
    <row r="336" spans="1:3" x14ac:dyDescent="0.5">
      <c r="A336" s="1" t="s">
        <v>100</v>
      </c>
      <c r="B336" s="1">
        <v>39.94</v>
      </c>
      <c r="C336" s="1">
        <v>74755</v>
      </c>
    </row>
    <row r="337" spans="1:3" x14ac:dyDescent="0.5">
      <c r="A337" s="1" t="s">
        <v>395</v>
      </c>
      <c r="B337" s="1">
        <v>0.03</v>
      </c>
      <c r="C337" s="1">
        <v>88</v>
      </c>
    </row>
    <row r="338" spans="1:3" x14ac:dyDescent="0.5">
      <c r="A338" s="1" t="s">
        <v>420</v>
      </c>
      <c r="B338" s="1">
        <v>0.17</v>
      </c>
      <c r="C338" s="1">
        <v>225</v>
      </c>
    </row>
    <row r="339" spans="1:3" x14ac:dyDescent="0.5">
      <c r="A339" s="1" t="s">
        <v>243</v>
      </c>
      <c r="B339" s="1">
        <v>12.74</v>
      </c>
      <c r="C339" s="1">
        <v>9065</v>
      </c>
    </row>
    <row r="340" spans="1:3" x14ac:dyDescent="0.5">
      <c r="A340" s="1" t="s">
        <v>215</v>
      </c>
      <c r="B340" s="1">
        <v>0.17</v>
      </c>
      <c r="C340" s="1">
        <v>181</v>
      </c>
    </row>
    <row r="341" spans="1:3" x14ac:dyDescent="0.5">
      <c r="A341" s="1" t="s">
        <v>160</v>
      </c>
      <c r="B341" s="1">
        <v>2.9799999999999995</v>
      </c>
      <c r="C341" s="1">
        <v>3957</v>
      </c>
    </row>
    <row r="342" spans="1:3" x14ac:dyDescent="0.5">
      <c r="A342" s="1" t="s">
        <v>148</v>
      </c>
      <c r="B342" s="1">
        <v>52.09</v>
      </c>
      <c r="C342" s="1">
        <v>58767</v>
      </c>
    </row>
    <row r="343" spans="1:3" x14ac:dyDescent="0.5">
      <c r="A343" s="1" t="s">
        <v>66</v>
      </c>
      <c r="B343" s="1">
        <v>40.840000000000003</v>
      </c>
      <c r="C343" s="1">
        <v>41028</v>
      </c>
    </row>
    <row r="344" spans="1:3" x14ac:dyDescent="0.5">
      <c r="A344" s="1" t="s">
        <v>36</v>
      </c>
      <c r="B344" s="1">
        <v>0.11</v>
      </c>
      <c r="C344" s="1">
        <v>288</v>
      </c>
    </row>
    <row r="345" spans="1:3" x14ac:dyDescent="0.5">
      <c r="A345" s="1" t="s">
        <v>364</v>
      </c>
      <c r="B345" s="1">
        <v>7.94</v>
      </c>
      <c r="C345" s="1">
        <v>15565</v>
      </c>
    </row>
    <row r="346" spans="1:3" x14ac:dyDescent="0.5">
      <c r="A346" s="1" t="s">
        <v>92</v>
      </c>
      <c r="B346" s="1">
        <v>0.06</v>
      </c>
      <c r="C346" s="1">
        <v>92</v>
      </c>
    </row>
    <row r="347" spans="1:3" x14ac:dyDescent="0.5">
      <c r="A347" s="1" t="s">
        <v>650</v>
      </c>
      <c r="B347" s="1">
        <v>0.04</v>
      </c>
      <c r="C347" s="1">
        <v>48</v>
      </c>
    </row>
    <row r="348" spans="1:3" x14ac:dyDescent="0.5">
      <c r="A348" s="1" t="s">
        <v>429</v>
      </c>
      <c r="B348" s="1">
        <v>0.49</v>
      </c>
      <c r="C348" s="1">
        <v>232</v>
      </c>
    </row>
    <row r="349" spans="1:3" x14ac:dyDescent="0.5">
      <c r="A349" s="1" t="s">
        <v>616</v>
      </c>
      <c r="B349" s="1">
        <v>1.05</v>
      </c>
      <c r="C349" s="1">
        <v>1322</v>
      </c>
    </row>
    <row r="350" spans="1:3" x14ac:dyDescent="0.5">
      <c r="A350" s="1" t="s">
        <v>585</v>
      </c>
      <c r="B350" s="1">
        <v>41.86</v>
      </c>
      <c r="C350" s="1">
        <v>87103</v>
      </c>
    </row>
    <row r="351" spans="1:3" x14ac:dyDescent="0.5">
      <c r="A351" s="1" t="s">
        <v>522</v>
      </c>
      <c r="B351" s="1">
        <v>0.11</v>
      </c>
      <c r="C351" s="1">
        <v>173</v>
      </c>
    </row>
    <row r="352" spans="1:3" x14ac:dyDescent="0.5">
      <c r="A352" s="1" t="s">
        <v>413</v>
      </c>
      <c r="B352" s="1">
        <v>7.0000000000000007E-2</v>
      </c>
      <c r="C352" s="1">
        <v>96</v>
      </c>
    </row>
    <row r="353" spans="1:3" x14ac:dyDescent="0.5">
      <c r="A353" s="1" t="s">
        <v>181</v>
      </c>
      <c r="B353" s="1">
        <v>0.05</v>
      </c>
      <c r="C353" s="1">
        <v>54</v>
      </c>
    </row>
    <row r="354" spans="1:3" x14ac:dyDescent="0.5">
      <c r="A354" s="1" t="s">
        <v>454</v>
      </c>
      <c r="B354" s="1">
        <v>0.23</v>
      </c>
      <c r="C354" s="1">
        <v>236</v>
      </c>
    </row>
    <row r="355" spans="1:3" x14ac:dyDescent="0.5">
      <c r="A355" s="1" t="s">
        <v>706</v>
      </c>
      <c r="B355" s="1">
        <v>0.04</v>
      </c>
      <c r="C355" s="1">
        <v>63</v>
      </c>
    </row>
    <row r="356" spans="1:3" x14ac:dyDescent="0.5">
      <c r="A356" s="1" t="s">
        <v>761</v>
      </c>
      <c r="B356" s="1">
        <v>0.04</v>
      </c>
      <c r="C356" s="1">
        <v>75</v>
      </c>
    </row>
    <row r="357" spans="1:3" x14ac:dyDescent="0.5">
      <c r="A357" s="1" t="s">
        <v>676</v>
      </c>
      <c r="B357" s="1">
        <v>41.85</v>
      </c>
      <c r="C357" s="1">
        <v>44110</v>
      </c>
    </row>
    <row r="358" spans="1:3" x14ac:dyDescent="0.5">
      <c r="A358" s="1" t="s">
        <v>414</v>
      </c>
      <c r="B358" s="1">
        <v>7.0000000000000007E-2</v>
      </c>
      <c r="C358" s="1">
        <v>91</v>
      </c>
    </row>
    <row r="359" spans="1:3" x14ac:dyDescent="0.5">
      <c r="A359" s="1" t="s">
        <v>620</v>
      </c>
      <c r="B359" s="1">
        <v>0.22</v>
      </c>
      <c r="C359" s="1">
        <v>272</v>
      </c>
    </row>
    <row r="360" spans="1:3" x14ac:dyDescent="0.5">
      <c r="A360" s="1" t="s">
        <v>401</v>
      </c>
      <c r="B360" s="1">
        <v>56.4</v>
      </c>
      <c r="C360" s="1">
        <v>101708</v>
      </c>
    </row>
    <row r="361" spans="1:3" x14ac:dyDescent="0.5">
      <c r="A361" s="1" t="s">
        <v>662</v>
      </c>
      <c r="B361" s="1">
        <v>0.04</v>
      </c>
      <c r="C361" s="1">
        <v>49</v>
      </c>
    </row>
    <row r="362" spans="1:3" x14ac:dyDescent="0.5">
      <c r="A362" s="1" t="s">
        <v>770</v>
      </c>
      <c r="B362" s="1">
        <v>0.05</v>
      </c>
      <c r="C362" s="1">
        <v>100</v>
      </c>
    </row>
    <row r="363" spans="1:3" x14ac:dyDescent="0.5">
      <c r="A363" s="1" t="s">
        <v>481</v>
      </c>
      <c r="B363" s="1">
        <v>45.06</v>
      </c>
      <c r="C363" s="1">
        <v>38067</v>
      </c>
    </row>
    <row r="364" spans="1:3" x14ac:dyDescent="0.5">
      <c r="A364" s="1" t="s">
        <v>499</v>
      </c>
      <c r="B364" s="1">
        <v>0.13</v>
      </c>
      <c r="C364" s="1">
        <v>99</v>
      </c>
    </row>
    <row r="365" spans="1:3" x14ac:dyDescent="0.5">
      <c r="A365" s="1" t="s">
        <v>81</v>
      </c>
      <c r="B365" s="1">
        <v>0.11</v>
      </c>
      <c r="C365" s="1">
        <v>111</v>
      </c>
    </row>
    <row r="366" spans="1:3" x14ac:dyDescent="0.5">
      <c r="A366" s="1" t="s">
        <v>99</v>
      </c>
      <c r="B366" s="1">
        <v>0.33</v>
      </c>
      <c r="C366" s="1">
        <v>619</v>
      </c>
    </row>
    <row r="367" spans="1:3" x14ac:dyDescent="0.5">
      <c r="A367" s="1" t="s">
        <v>626</v>
      </c>
      <c r="B367" s="1">
        <v>0.09</v>
      </c>
      <c r="C367" s="1">
        <v>122</v>
      </c>
    </row>
    <row r="368" spans="1:3" x14ac:dyDescent="0.5">
      <c r="A368" s="1" t="s">
        <v>392</v>
      </c>
      <c r="B368" s="1">
        <v>0.03</v>
      </c>
      <c r="C368" s="1">
        <v>73</v>
      </c>
    </row>
    <row r="369" spans="1:3" x14ac:dyDescent="0.5">
      <c r="A369" s="1" t="s">
        <v>419</v>
      </c>
      <c r="B369" s="1">
        <v>0.15</v>
      </c>
      <c r="C369" s="1">
        <v>193</v>
      </c>
    </row>
    <row r="370" spans="1:3" x14ac:dyDescent="0.5">
      <c r="A370" s="1" t="s">
        <v>107</v>
      </c>
      <c r="B370" s="1">
        <v>0.08</v>
      </c>
      <c r="C370" s="1">
        <v>155</v>
      </c>
    </row>
    <row r="371" spans="1:3" x14ac:dyDescent="0.5">
      <c r="A371" s="1" t="s">
        <v>684</v>
      </c>
      <c r="B371" s="1">
        <v>0.14000000000000001</v>
      </c>
      <c r="C371" s="1">
        <v>182</v>
      </c>
    </row>
    <row r="372" spans="1:3" x14ac:dyDescent="0.5">
      <c r="A372" s="1" t="s">
        <v>711</v>
      </c>
      <c r="B372" s="1">
        <v>0.03</v>
      </c>
      <c r="C372" s="1">
        <v>45</v>
      </c>
    </row>
    <row r="373" spans="1:3" x14ac:dyDescent="0.5">
      <c r="A373" s="1" t="s">
        <v>455</v>
      </c>
      <c r="B373" s="1">
        <v>0.01</v>
      </c>
      <c r="C373" s="1">
        <v>8</v>
      </c>
    </row>
    <row r="374" spans="1:3" x14ac:dyDescent="0.5">
      <c r="A374" s="1" t="s">
        <v>554</v>
      </c>
      <c r="B374" s="1">
        <v>0.23</v>
      </c>
      <c r="C374" s="1">
        <v>235</v>
      </c>
    </row>
    <row r="375" spans="1:3" x14ac:dyDescent="0.5">
      <c r="A375" s="1" t="s">
        <v>338</v>
      </c>
      <c r="B375" s="1">
        <v>0.03</v>
      </c>
      <c r="C375" s="1">
        <v>43</v>
      </c>
    </row>
    <row r="376" spans="1:3" x14ac:dyDescent="0.5">
      <c r="A376" s="1" t="s">
        <v>20</v>
      </c>
      <c r="B376" s="1">
        <v>39.43</v>
      </c>
      <c r="C376" s="1">
        <v>53738</v>
      </c>
    </row>
    <row r="377" spans="1:3" x14ac:dyDescent="0.5">
      <c r="A377" s="1" t="s">
        <v>594</v>
      </c>
      <c r="B377" s="1">
        <v>0.08</v>
      </c>
      <c r="C377" s="1">
        <v>176</v>
      </c>
    </row>
    <row r="378" spans="1:3" x14ac:dyDescent="0.5">
      <c r="A378" s="1" t="s">
        <v>656</v>
      </c>
      <c r="B378" s="1">
        <v>57.7</v>
      </c>
      <c r="C378" s="1">
        <v>72141</v>
      </c>
    </row>
    <row r="379" spans="1:3" x14ac:dyDescent="0.5">
      <c r="A379" s="1" t="s">
        <v>630</v>
      </c>
      <c r="B379" s="1">
        <v>0.55000000000000004</v>
      </c>
      <c r="C379" s="1">
        <v>756</v>
      </c>
    </row>
    <row r="380" spans="1:3" x14ac:dyDescent="0.5">
      <c r="A380" s="1" t="s">
        <v>707</v>
      </c>
      <c r="B380" s="1">
        <v>0.04</v>
      </c>
      <c r="C380" s="1">
        <v>54</v>
      </c>
    </row>
    <row r="381" spans="1:3" x14ac:dyDescent="0.5">
      <c r="A381" s="1" t="s">
        <v>439</v>
      </c>
      <c r="B381" s="1">
        <v>7.0000000000000007E-2</v>
      </c>
      <c r="C381" s="1">
        <v>65</v>
      </c>
    </row>
    <row r="382" spans="1:3" x14ac:dyDescent="0.5">
      <c r="A382" s="1" t="s">
        <v>221</v>
      </c>
      <c r="B382" s="1">
        <v>0.06</v>
      </c>
      <c r="C382" s="1">
        <v>58</v>
      </c>
    </row>
    <row r="383" spans="1:3" x14ac:dyDescent="0.5">
      <c r="A383" s="1" t="s">
        <v>348</v>
      </c>
      <c r="B383" s="1">
        <v>49.54</v>
      </c>
      <c r="C383" s="1">
        <v>135564</v>
      </c>
    </row>
    <row r="384" spans="1:3" x14ac:dyDescent="0.5">
      <c r="A384" s="1" t="s">
        <v>465</v>
      </c>
      <c r="B384" s="1">
        <v>0.01</v>
      </c>
      <c r="C384" s="1">
        <v>9</v>
      </c>
    </row>
    <row r="385" spans="1:3" x14ac:dyDescent="0.5">
      <c r="A385" s="1" t="s">
        <v>663</v>
      </c>
      <c r="B385" s="1">
        <v>0.11</v>
      </c>
      <c r="C385" s="1">
        <v>142</v>
      </c>
    </row>
    <row r="386" spans="1:3" x14ac:dyDescent="0.5">
      <c r="A386" s="1" t="s">
        <v>586</v>
      </c>
      <c r="B386" s="1">
        <v>0.94</v>
      </c>
      <c r="C386" s="1">
        <v>1965</v>
      </c>
    </row>
    <row r="387" spans="1:3" x14ac:dyDescent="0.5">
      <c r="A387" s="1" t="s">
        <v>373</v>
      </c>
      <c r="B387" s="1">
        <v>0.39</v>
      </c>
      <c r="C387" s="1">
        <v>545</v>
      </c>
    </row>
    <row r="388" spans="1:3" x14ac:dyDescent="0.5">
      <c r="A388" s="1" t="s">
        <v>175</v>
      </c>
      <c r="B388" s="1">
        <v>30.07</v>
      </c>
      <c r="C388" s="1">
        <v>32549</v>
      </c>
    </row>
    <row r="389" spans="1:3" x14ac:dyDescent="0.5">
      <c r="A389" s="1" t="s">
        <v>374</v>
      </c>
      <c r="B389" s="1">
        <v>49.56</v>
      </c>
      <c r="C389" s="1">
        <v>69137</v>
      </c>
    </row>
    <row r="390" spans="1:3" x14ac:dyDescent="0.5">
      <c r="A390" s="1" t="s">
        <v>90</v>
      </c>
      <c r="B390" s="1">
        <v>0.17</v>
      </c>
      <c r="C390" s="1">
        <v>250</v>
      </c>
    </row>
    <row r="391" spans="1:3" x14ac:dyDescent="0.5">
      <c r="A391" s="1" t="s">
        <v>484</v>
      </c>
      <c r="B391" s="1">
        <v>0.19</v>
      </c>
      <c r="C391" s="1">
        <v>158</v>
      </c>
    </row>
    <row r="392" spans="1:3" x14ac:dyDescent="0.5">
      <c r="A392" s="1" t="s">
        <v>579</v>
      </c>
      <c r="B392" s="1">
        <v>0.28000000000000003</v>
      </c>
      <c r="C392" s="1">
        <v>323</v>
      </c>
    </row>
    <row r="393" spans="1:3" x14ac:dyDescent="0.5">
      <c r="A393" s="1" t="s">
        <v>570</v>
      </c>
      <c r="B393" s="1">
        <v>0.05</v>
      </c>
      <c r="C393" s="1">
        <v>58</v>
      </c>
    </row>
    <row r="394" spans="1:3" x14ac:dyDescent="0.5">
      <c r="A394" s="1" t="s">
        <v>328</v>
      </c>
      <c r="B394" s="1">
        <v>40.229999999999997</v>
      </c>
      <c r="C394" s="1">
        <v>50220</v>
      </c>
    </row>
    <row r="395" spans="1:3" x14ac:dyDescent="0.5">
      <c r="A395" s="1" t="s">
        <v>183</v>
      </c>
      <c r="B395" s="1">
        <v>4.3</v>
      </c>
      <c r="C395" s="1">
        <v>4892</v>
      </c>
    </row>
    <row r="396" spans="1:3" x14ac:dyDescent="0.5">
      <c r="A396" s="1" t="s">
        <v>443</v>
      </c>
      <c r="B396" s="1">
        <v>48.82</v>
      </c>
      <c r="C396" s="1">
        <v>30088</v>
      </c>
    </row>
    <row r="397" spans="1:3" x14ac:dyDescent="0.5">
      <c r="A397" s="1" t="s">
        <v>323</v>
      </c>
      <c r="B397" s="1">
        <v>2.85</v>
      </c>
      <c r="C397" s="1">
        <v>2747</v>
      </c>
    </row>
    <row r="398" spans="1:3" x14ac:dyDescent="0.5">
      <c r="A398" s="1" t="s">
        <v>677</v>
      </c>
      <c r="B398" s="1">
        <v>0.18</v>
      </c>
      <c r="C398" s="1">
        <v>190</v>
      </c>
    </row>
    <row r="399" spans="1:3" x14ac:dyDescent="0.5">
      <c r="A399" s="1" t="s">
        <v>202</v>
      </c>
      <c r="B399" s="1">
        <v>0.51</v>
      </c>
      <c r="C399" s="1">
        <v>566</v>
      </c>
    </row>
    <row r="400" spans="1:3" x14ac:dyDescent="0.5">
      <c r="A400" s="1" t="s">
        <v>361</v>
      </c>
      <c r="B400" s="1">
        <v>52.84</v>
      </c>
      <c r="C400" s="1">
        <v>103613</v>
      </c>
    </row>
    <row r="401" spans="1:3" x14ac:dyDescent="0.5">
      <c r="A401" s="1" t="s">
        <v>503</v>
      </c>
      <c r="B401" s="1">
        <v>0.12</v>
      </c>
      <c r="C401" s="1">
        <v>88</v>
      </c>
    </row>
    <row r="402" spans="1:3" x14ac:dyDescent="0.5">
      <c r="A402" s="1" t="s">
        <v>669</v>
      </c>
      <c r="B402" s="1">
        <v>0.09</v>
      </c>
      <c r="C402" s="1">
        <v>131</v>
      </c>
    </row>
    <row r="403" spans="1:3" x14ac:dyDescent="0.5">
      <c r="A403" s="1" t="s">
        <v>207</v>
      </c>
      <c r="B403" s="1">
        <v>51.24</v>
      </c>
      <c r="C403" s="1">
        <v>54721</v>
      </c>
    </row>
    <row r="404" spans="1:3" x14ac:dyDescent="0.5">
      <c r="A404" s="1" t="s">
        <v>362</v>
      </c>
      <c r="B404" s="1">
        <v>37.67</v>
      </c>
      <c r="C404" s="1">
        <v>73873</v>
      </c>
    </row>
    <row r="405" spans="1:3" x14ac:dyDescent="0.5">
      <c r="A405" s="1" t="s">
        <v>393</v>
      </c>
      <c r="B405" s="1">
        <v>0.06</v>
      </c>
      <c r="C405" s="1">
        <v>162</v>
      </c>
    </row>
    <row r="406" spans="1:3" x14ac:dyDescent="0.5">
      <c r="A406" s="1" t="s">
        <v>430</v>
      </c>
      <c r="B406" s="1">
        <v>8.9600000000000009</v>
      </c>
      <c r="C406" s="1">
        <v>4252</v>
      </c>
    </row>
    <row r="407" spans="1:3" x14ac:dyDescent="0.5">
      <c r="A407" s="1" t="s">
        <v>771</v>
      </c>
      <c r="B407" s="1">
        <v>0.14000000000000001</v>
      </c>
      <c r="C407" s="1">
        <v>278</v>
      </c>
    </row>
    <row r="408" spans="1:3" x14ac:dyDescent="0.5">
      <c r="A408" s="1" t="s">
        <v>634</v>
      </c>
      <c r="B408" s="1">
        <v>0.14000000000000001</v>
      </c>
      <c r="C408" s="1">
        <v>188</v>
      </c>
    </row>
    <row r="409" spans="1:3" x14ac:dyDescent="0.5">
      <c r="A409" s="1" t="s">
        <v>144</v>
      </c>
      <c r="B409" s="1">
        <v>0.28999999999999998</v>
      </c>
      <c r="C409" s="1">
        <v>588</v>
      </c>
    </row>
    <row r="410" spans="1:3" x14ac:dyDescent="0.5">
      <c r="A410" s="1" t="s">
        <v>494</v>
      </c>
      <c r="B410" s="1">
        <v>37.65</v>
      </c>
      <c r="C410" s="1">
        <v>28807</v>
      </c>
    </row>
    <row r="411" spans="1:3" x14ac:dyDescent="0.5">
      <c r="A411" s="1" t="s">
        <v>34</v>
      </c>
      <c r="B411" s="1">
        <v>0.12</v>
      </c>
      <c r="C411" s="1">
        <v>315</v>
      </c>
    </row>
    <row r="412" spans="1:3" x14ac:dyDescent="0.5">
      <c r="A412" s="1" t="s">
        <v>428</v>
      </c>
      <c r="B412" s="1">
        <v>0.19</v>
      </c>
      <c r="C412" s="1">
        <v>302</v>
      </c>
    </row>
    <row r="413" spans="1:3" x14ac:dyDescent="0.5">
      <c r="A413" s="1" t="s">
        <v>345</v>
      </c>
      <c r="B413" s="1">
        <v>0.32</v>
      </c>
      <c r="C413" s="1">
        <v>403</v>
      </c>
    </row>
    <row r="414" spans="1:3" x14ac:dyDescent="0.5">
      <c r="A414" s="1" t="s">
        <v>440</v>
      </c>
      <c r="B414" s="1">
        <v>0.16</v>
      </c>
      <c r="C414" s="1">
        <v>155</v>
      </c>
    </row>
    <row r="415" spans="1:3" x14ac:dyDescent="0.5">
      <c r="A415" s="1" t="s">
        <v>743</v>
      </c>
      <c r="B415" s="1">
        <v>43.54</v>
      </c>
      <c r="C415" s="1">
        <v>72297</v>
      </c>
    </row>
    <row r="416" spans="1:3" x14ac:dyDescent="0.5">
      <c r="A416" s="1" t="s">
        <v>275</v>
      </c>
      <c r="B416" s="1">
        <v>49</v>
      </c>
      <c r="C416" s="1">
        <v>57512</v>
      </c>
    </row>
    <row r="417" spans="1:3" x14ac:dyDescent="0.5">
      <c r="A417" s="1" t="s">
        <v>315</v>
      </c>
      <c r="B417" s="1">
        <v>0.08</v>
      </c>
      <c r="C417" s="1">
        <v>81</v>
      </c>
    </row>
    <row r="418" spans="1:3" x14ac:dyDescent="0.5">
      <c r="A418" s="1" t="s">
        <v>152</v>
      </c>
      <c r="B418" s="1">
        <v>7.0000000000000007E-2</v>
      </c>
      <c r="C418" s="1">
        <v>82</v>
      </c>
    </row>
    <row r="419" spans="1:3" x14ac:dyDescent="0.5">
      <c r="A419" s="1" t="s">
        <v>203</v>
      </c>
      <c r="B419" s="1">
        <v>39</v>
      </c>
      <c r="C419" s="1">
        <v>43177</v>
      </c>
    </row>
    <row r="420" spans="1:3" x14ac:dyDescent="0.5">
      <c r="A420" s="1" t="s">
        <v>311</v>
      </c>
      <c r="B420" s="1">
        <v>4.13</v>
      </c>
      <c r="C420" s="1">
        <v>4252</v>
      </c>
    </row>
    <row r="421" spans="1:3" x14ac:dyDescent="0.5">
      <c r="A421" s="1" t="s">
        <v>71</v>
      </c>
      <c r="B421" s="1">
        <v>0.04</v>
      </c>
      <c r="C421" s="1">
        <v>41</v>
      </c>
    </row>
    <row r="422" spans="1:3" x14ac:dyDescent="0.5">
      <c r="A422" s="1" t="s">
        <v>527</v>
      </c>
      <c r="B422" s="1">
        <v>55.09</v>
      </c>
      <c r="C422" s="1">
        <v>86889</v>
      </c>
    </row>
    <row r="423" spans="1:3" x14ac:dyDescent="0.5">
      <c r="A423" s="1" t="s">
        <v>351</v>
      </c>
      <c r="B423" s="1">
        <v>0.04</v>
      </c>
      <c r="C423" s="1">
        <v>97</v>
      </c>
    </row>
    <row r="424" spans="1:3" x14ac:dyDescent="0.5">
      <c r="A424" s="1" t="s">
        <v>561</v>
      </c>
      <c r="B424" s="1">
        <v>0.39</v>
      </c>
      <c r="C424" s="1">
        <v>421</v>
      </c>
    </row>
    <row r="425" spans="1:3" x14ac:dyDescent="0.5">
      <c r="A425" s="1" t="s">
        <v>69</v>
      </c>
      <c r="B425" s="1">
        <v>0.06</v>
      </c>
      <c r="C425" s="1">
        <v>56</v>
      </c>
    </row>
    <row r="426" spans="1:3" x14ac:dyDescent="0.5">
      <c r="A426" s="1" t="s">
        <v>623</v>
      </c>
      <c r="B426" s="1">
        <v>43.11</v>
      </c>
      <c r="C426" s="1">
        <v>55499</v>
      </c>
    </row>
    <row r="427" spans="1:3" x14ac:dyDescent="0.5">
      <c r="A427" s="1" t="s">
        <v>398</v>
      </c>
      <c r="B427" s="1">
        <v>0.3</v>
      </c>
      <c r="C427" s="1">
        <v>654</v>
      </c>
    </row>
    <row r="428" spans="1:3" x14ac:dyDescent="0.5">
      <c r="A428" s="1" t="s">
        <v>242</v>
      </c>
      <c r="B428" s="1">
        <v>54.79</v>
      </c>
      <c r="C428" s="1">
        <v>38993</v>
      </c>
    </row>
    <row r="429" spans="1:3" x14ac:dyDescent="0.5">
      <c r="A429" s="1" t="s">
        <v>507</v>
      </c>
      <c r="B429" s="1">
        <v>8.0500000000000007</v>
      </c>
      <c r="C429" s="1">
        <v>9338</v>
      </c>
    </row>
    <row r="430" spans="1:3" x14ac:dyDescent="0.5">
      <c r="A430" s="1" t="s">
        <v>546</v>
      </c>
      <c r="B430" s="1">
        <v>0.06</v>
      </c>
      <c r="C430" s="1">
        <v>78</v>
      </c>
    </row>
    <row r="431" spans="1:3" x14ac:dyDescent="0.5">
      <c r="A431" s="1" t="s">
        <v>94</v>
      </c>
      <c r="B431" s="1">
        <v>0.04</v>
      </c>
      <c r="C431" s="1">
        <v>64</v>
      </c>
    </row>
    <row r="432" spans="1:3" x14ac:dyDescent="0.5">
      <c r="A432" s="1" t="s">
        <v>276</v>
      </c>
      <c r="B432" s="1">
        <v>45.55</v>
      </c>
      <c r="C432" s="1">
        <v>53463</v>
      </c>
    </row>
    <row r="433" spans="1:3" x14ac:dyDescent="0.5">
      <c r="A433" s="1" t="s">
        <v>161</v>
      </c>
      <c r="B433" s="1">
        <v>30.77</v>
      </c>
      <c r="C433" s="1">
        <v>49021</v>
      </c>
    </row>
    <row r="434" spans="1:3" x14ac:dyDescent="0.5">
      <c r="A434" s="1" t="s">
        <v>388</v>
      </c>
      <c r="B434" s="1">
        <v>3.47</v>
      </c>
      <c r="C434" s="1">
        <v>9685</v>
      </c>
    </row>
    <row r="435" spans="1:3" x14ac:dyDescent="0.5">
      <c r="A435" s="1" t="s">
        <v>208</v>
      </c>
      <c r="B435" s="1">
        <v>5.94</v>
      </c>
      <c r="C435" s="1">
        <v>6348</v>
      </c>
    </row>
    <row r="436" spans="1:3" x14ac:dyDescent="0.5">
      <c r="A436" s="1" t="s">
        <v>724</v>
      </c>
      <c r="B436" s="1">
        <v>0.03</v>
      </c>
      <c r="C436" s="1">
        <v>44</v>
      </c>
    </row>
    <row r="437" spans="1:3" x14ac:dyDescent="0.5">
      <c r="A437" s="1" t="s">
        <v>269</v>
      </c>
      <c r="B437" s="1">
        <v>4.18</v>
      </c>
      <c r="C437" s="1">
        <v>4323</v>
      </c>
    </row>
    <row r="438" spans="1:3" x14ac:dyDescent="0.5">
      <c r="A438" s="1" t="s">
        <v>592</v>
      </c>
      <c r="B438" s="1">
        <v>0.22</v>
      </c>
      <c r="C438" s="1">
        <v>466</v>
      </c>
    </row>
    <row r="439" spans="1:3" x14ac:dyDescent="0.5">
      <c r="A439" s="1" t="s">
        <v>247</v>
      </c>
      <c r="B439" s="1">
        <v>0.1</v>
      </c>
      <c r="C439" s="1">
        <v>69</v>
      </c>
    </row>
    <row r="440" spans="1:3" x14ac:dyDescent="0.5">
      <c r="A440" s="1" t="s">
        <v>505</v>
      </c>
      <c r="B440" s="1">
        <v>0.1</v>
      </c>
      <c r="C440" s="1">
        <v>76</v>
      </c>
    </row>
    <row r="441" spans="1:3" x14ac:dyDescent="0.5">
      <c r="A441" s="1" t="s">
        <v>10</v>
      </c>
      <c r="B441" s="1">
        <v>49.91</v>
      </c>
      <c r="C441" s="1">
        <v>87215</v>
      </c>
    </row>
    <row r="442" spans="1:3" x14ac:dyDescent="0.5">
      <c r="A442" s="1" t="s">
        <v>341</v>
      </c>
      <c r="B442" s="1">
        <v>0.02</v>
      </c>
      <c r="C442" s="1">
        <v>20</v>
      </c>
    </row>
    <row r="443" spans="1:3" x14ac:dyDescent="0.5">
      <c r="A443" s="1" t="s">
        <v>67</v>
      </c>
      <c r="B443" s="1">
        <v>52.27</v>
      </c>
      <c r="C443" s="1">
        <v>52510</v>
      </c>
    </row>
    <row r="444" spans="1:3" x14ac:dyDescent="0.5">
      <c r="A444" s="1" t="s">
        <v>170</v>
      </c>
      <c r="B444" s="1">
        <v>50.23</v>
      </c>
      <c r="C444" s="1">
        <v>62007</v>
      </c>
    </row>
    <row r="445" spans="1:3" x14ac:dyDescent="0.5">
      <c r="A445" s="1" t="s">
        <v>319</v>
      </c>
      <c r="B445" s="1">
        <v>3.3</v>
      </c>
      <c r="C445" s="1">
        <v>3398</v>
      </c>
    </row>
    <row r="446" spans="1:3" x14ac:dyDescent="0.5">
      <c r="A446" s="1" t="s">
        <v>533</v>
      </c>
      <c r="B446" s="1">
        <v>1.41</v>
      </c>
      <c r="C446" s="1">
        <v>2229</v>
      </c>
    </row>
    <row r="447" spans="1:3" x14ac:dyDescent="0.5">
      <c r="A447" s="1" t="s">
        <v>565</v>
      </c>
      <c r="B447" s="1">
        <v>0.08</v>
      </c>
      <c r="C447" s="1">
        <v>85</v>
      </c>
    </row>
    <row r="448" spans="1:3" x14ac:dyDescent="0.5">
      <c r="A448" s="1" t="s">
        <v>182</v>
      </c>
      <c r="B448" s="1">
        <v>0.06</v>
      </c>
      <c r="C448" s="1">
        <v>62</v>
      </c>
    </row>
    <row r="449" spans="1:3" x14ac:dyDescent="0.5">
      <c r="A449" s="1" t="s">
        <v>93</v>
      </c>
      <c r="B449" s="1">
        <v>0.05</v>
      </c>
      <c r="C449" s="1">
        <v>68</v>
      </c>
    </row>
    <row r="450" spans="1:3" x14ac:dyDescent="0.5">
      <c r="A450" s="1" t="s">
        <v>280</v>
      </c>
      <c r="B450" s="1">
        <v>3.05</v>
      </c>
      <c r="C450" s="1">
        <v>3334</v>
      </c>
    </row>
    <row r="451" spans="1:3" x14ac:dyDescent="0.5">
      <c r="A451" s="1" t="s">
        <v>518</v>
      </c>
      <c r="B451" s="1">
        <v>4.0199999999999996</v>
      </c>
      <c r="C451" s="1">
        <v>6601</v>
      </c>
    </row>
    <row r="452" spans="1:3" x14ac:dyDescent="0.5">
      <c r="A452" s="1" t="s">
        <v>685</v>
      </c>
      <c r="B452" s="1">
        <v>0.05</v>
      </c>
      <c r="C452" s="1">
        <v>58</v>
      </c>
    </row>
    <row r="453" spans="1:3" x14ac:dyDescent="0.5">
      <c r="A453" s="1" t="s">
        <v>695</v>
      </c>
      <c r="B453" s="1">
        <v>0.04</v>
      </c>
      <c r="C453" s="1">
        <v>51</v>
      </c>
    </row>
    <row r="454" spans="1:3" x14ac:dyDescent="0.5">
      <c r="A454" s="1" t="s">
        <v>528</v>
      </c>
      <c r="B454" s="1">
        <v>7.74</v>
      </c>
      <c r="C454" s="1">
        <v>12211</v>
      </c>
    </row>
    <row r="455" spans="1:3" x14ac:dyDescent="0.5">
      <c r="A455" s="1" t="s">
        <v>198</v>
      </c>
      <c r="B455" s="1">
        <v>40.64</v>
      </c>
      <c r="C455" s="1">
        <v>43396</v>
      </c>
    </row>
    <row r="456" spans="1:3" x14ac:dyDescent="0.5">
      <c r="A456" s="1" t="s">
        <v>190</v>
      </c>
      <c r="B456" s="1">
        <v>0.15</v>
      </c>
      <c r="C456" s="1">
        <v>166</v>
      </c>
    </row>
    <row r="457" spans="1:3" x14ac:dyDescent="0.5">
      <c r="A457" s="1" t="s">
        <v>138</v>
      </c>
      <c r="B457" s="1">
        <v>3.39</v>
      </c>
      <c r="C457" s="1">
        <v>6864</v>
      </c>
    </row>
    <row r="458" spans="1:3" x14ac:dyDescent="0.5">
      <c r="A458" s="1" t="s">
        <v>697</v>
      </c>
      <c r="B458" s="1">
        <v>0.08</v>
      </c>
      <c r="C458" s="1">
        <v>110</v>
      </c>
    </row>
    <row r="459" spans="1:3" x14ac:dyDescent="0.5">
      <c r="A459" s="1" t="s">
        <v>659</v>
      </c>
      <c r="B459" s="1">
        <v>0.35</v>
      </c>
      <c r="C459" s="1">
        <v>443</v>
      </c>
    </row>
    <row r="460" spans="1:3" x14ac:dyDescent="0.5">
      <c r="A460" s="1" t="s">
        <v>690</v>
      </c>
      <c r="B460" s="1">
        <v>8.6300000000000008</v>
      </c>
      <c r="C460" s="1">
        <v>11823</v>
      </c>
    </row>
    <row r="461" spans="1:3" x14ac:dyDescent="0.5">
      <c r="A461" s="1" t="s">
        <v>366</v>
      </c>
      <c r="B461" s="1">
        <v>0.04</v>
      </c>
      <c r="C461" s="1">
        <v>79</v>
      </c>
    </row>
    <row r="462" spans="1:3" x14ac:dyDescent="0.5">
      <c r="A462" s="1" t="s">
        <v>658</v>
      </c>
      <c r="B462" s="1">
        <v>2.9</v>
      </c>
      <c r="C462" s="1">
        <v>3627</v>
      </c>
    </row>
    <row r="463" spans="1:3" x14ac:dyDescent="0.5">
      <c r="A463" s="1" t="s">
        <v>541</v>
      </c>
      <c r="B463" s="1">
        <v>0.09</v>
      </c>
      <c r="C463" s="1">
        <v>85</v>
      </c>
    </row>
    <row r="464" spans="1:3" x14ac:dyDescent="0.5">
      <c r="A464" s="1" t="s">
        <v>325</v>
      </c>
      <c r="B464" s="1">
        <v>0.09</v>
      </c>
      <c r="C464" s="1">
        <v>91</v>
      </c>
    </row>
    <row r="465" spans="1:3" x14ac:dyDescent="0.5">
      <c r="A465" s="1" t="s">
        <v>59</v>
      </c>
      <c r="B465" s="1">
        <v>0.09</v>
      </c>
      <c r="C465" s="1">
        <v>112</v>
      </c>
    </row>
    <row r="466" spans="1:3" x14ac:dyDescent="0.5">
      <c r="A466" s="1" t="s">
        <v>382</v>
      </c>
      <c r="B466" s="1">
        <v>0.09</v>
      </c>
      <c r="C466" s="1">
        <v>130</v>
      </c>
    </row>
    <row r="467" spans="1:3" x14ac:dyDescent="0.5">
      <c r="A467" s="1" t="s">
        <v>132</v>
      </c>
      <c r="B467" s="1">
        <v>7.0000000000000007E-2</v>
      </c>
      <c r="C467" s="1">
        <v>129</v>
      </c>
    </row>
    <row r="468" spans="1:3" x14ac:dyDescent="0.5">
      <c r="A468" s="1" t="s">
        <v>400</v>
      </c>
      <c r="B468" s="1">
        <v>0.06</v>
      </c>
      <c r="C468" s="1">
        <v>174</v>
      </c>
    </row>
    <row r="469" spans="1:3" x14ac:dyDescent="0.5">
      <c r="A469" s="1" t="s">
        <v>352</v>
      </c>
      <c r="B469" s="1">
        <v>0.03</v>
      </c>
      <c r="C469" s="1">
        <v>69</v>
      </c>
    </row>
    <row r="470" spans="1:3" x14ac:dyDescent="0.5">
      <c r="A470" s="1" t="s">
        <v>145</v>
      </c>
      <c r="B470" s="1">
        <v>0.23</v>
      </c>
      <c r="C470" s="1">
        <v>473</v>
      </c>
    </row>
    <row r="471" spans="1:3" x14ac:dyDescent="0.5">
      <c r="A471" s="1" t="s">
        <v>58</v>
      </c>
      <c r="B471" s="1">
        <v>7.0000000000000007E-2</v>
      </c>
      <c r="C471" s="1">
        <v>91</v>
      </c>
    </row>
    <row r="472" spans="1:3" x14ac:dyDescent="0.5">
      <c r="A472" s="1" t="s">
        <v>476</v>
      </c>
      <c r="B472" s="1">
        <v>0.09</v>
      </c>
      <c r="C472" s="1">
        <v>78</v>
      </c>
    </row>
    <row r="473" spans="1:3" x14ac:dyDescent="0.5">
      <c r="A473" s="1" t="s">
        <v>294</v>
      </c>
      <c r="B473" s="1">
        <v>36.42</v>
      </c>
      <c r="C473" s="1">
        <v>41120</v>
      </c>
    </row>
    <row r="474" spans="1:3" x14ac:dyDescent="0.5">
      <c r="A474" s="1" t="s">
        <v>277</v>
      </c>
      <c r="B474" s="1">
        <v>0.61</v>
      </c>
      <c r="C474" s="1">
        <v>714</v>
      </c>
    </row>
    <row r="475" spans="1:3" x14ac:dyDescent="0.5">
      <c r="A475" s="1" t="s">
        <v>590</v>
      </c>
      <c r="B475" s="1">
        <v>0.06</v>
      </c>
      <c r="C475" s="1">
        <v>134</v>
      </c>
    </row>
    <row r="476" spans="1:3" x14ac:dyDescent="0.5">
      <c r="A476" s="1" t="s">
        <v>82</v>
      </c>
      <c r="B476" s="1">
        <v>0.14000000000000001</v>
      </c>
      <c r="C476" s="1">
        <v>140</v>
      </c>
    </row>
    <row r="477" spans="1:3" x14ac:dyDescent="0.5">
      <c r="A477" s="1" t="s">
        <v>61</v>
      </c>
      <c r="B477" s="1">
        <v>0.09</v>
      </c>
      <c r="C477" s="1">
        <v>109</v>
      </c>
    </row>
    <row r="478" spans="1:3" x14ac:dyDescent="0.5">
      <c r="A478" s="1" t="s">
        <v>167</v>
      </c>
      <c r="B478" s="1">
        <v>0.13</v>
      </c>
      <c r="C478" s="1">
        <v>205</v>
      </c>
    </row>
    <row r="479" spans="1:3" x14ac:dyDescent="0.5">
      <c r="A479" s="1" t="s">
        <v>587</v>
      </c>
      <c r="B479" s="1">
        <v>54.3</v>
      </c>
      <c r="C479" s="1">
        <v>112991</v>
      </c>
    </row>
    <row r="480" spans="1:3" x14ac:dyDescent="0.5">
      <c r="A480" s="1" t="s">
        <v>133</v>
      </c>
      <c r="B480" s="1">
        <v>4.53</v>
      </c>
      <c r="C480" s="1">
        <v>8655</v>
      </c>
    </row>
    <row r="481" spans="1:3" x14ac:dyDescent="0.5">
      <c r="A481" s="1" t="s">
        <v>504</v>
      </c>
      <c r="B481" s="1">
        <v>0.13</v>
      </c>
      <c r="C481" s="1">
        <v>100</v>
      </c>
    </row>
    <row r="482" spans="1:3" x14ac:dyDescent="0.5">
      <c r="A482" s="1" t="s">
        <v>562</v>
      </c>
      <c r="B482" s="1">
        <v>45.5</v>
      </c>
      <c r="C482" s="1">
        <v>48633</v>
      </c>
    </row>
    <row r="483" spans="1:3" x14ac:dyDescent="0.5">
      <c r="A483" s="1" t="s">
        <v>557</v>
      </c>
      <c r="B483" s="1">
        <v>0.09</v>
      </c>
      <c r="C483" s="1">
        <v>96</v>
      </c>
    </row>
    <row r="484" spans="1:3" x14ac:dyDescent="0.5">
      <c r="A484" s="1" t="s">
        <v>483</v>
      </c>
      <c r="B484" s="1">
        <v>22.04</v>
      </c>
      <c r="C484" s="1">
        <v>18617</v>
      </c>
    </row>
    <row r="485" spans="1:3" x14ac:dyDescent="0.5">
      <c r="A485" s="1" t="s">
        <v>384</v>
      </c>
      <c r="B485" s="1">
        <v>0.16</v>
      </c>
      <c r="C485" s="1">
        <v>223</v>
      </c>
    </row>
    <row r="486" spans="1:3" x14ac:dyDescent="0.5">
      <c r="A486" s="1" t="s">
        <v>158</v>
      </c>
      <c r="B486" s="1">
        <v>0.13</v>
      </c>
      <c r="C486" s="1">
        <v>152</v>
      </c>
    </row>
    <row r="487" spans="1:3" x14ac:dyDescent="0.5">
      <c r="A487" s="1" t="s">
        <v>296</v>
      </c>
      <c r="B487" s="1">
        <v>0.06</v>
      </c>
      <c r="C487" s="1">
        <v>66</v>
      </c>
    </row>
    <row r="488" spans="1:3" x14ac:dyDescent="0.5">
      <c r="A488" s="1" t="s">
        <v>297</v>
      </c>
      <c r="B488" s="1">
        <v>0.18</v>
      </c>
      <c r="C488" s="1">
        <v>204</v>
      </c>
    </row>
    <row r="489" spans="1:3" x14ac:dyDescent="0.5">
      <c r="A489" s="1" t="s">
        <v>270</v>
      </c>
      <c r="B489" s="1">
        <v>0.61</v>
      </c>
      <c r="C489" s="1">
        <v>626</v>
      </c>
    </row>
    <row r="490" spans="1:3" x14ac:dyDescent="0.5">
      <c r="A490" s="1" t="s">
        <v>354</v>
      </c>
      <c r="B490" s="1">
        <v>0.05</v>
      </c>
      <c r="C490" s="1">
        <v>139</v>
      </c>
    </row>
    <row r="491" spans="1:3" x14ac:dyDescent="0.5">
      <c r="A491" s="1" t="s">
        <v>187</v>
      </c>
      <c r="B491" s="1">
        <v>0.03</v>
      </c>
      <c r="C491" s="1">
        <v>35</v>
      </c>
    </row>
    <row r="492" spans="1:3" x14ac:dyDescent="0.5">
      <c r="A492" s="1" t="s">
        <v>38</v>
      </c>
      <c r="B492" s="1">
        <v>1.51</v>
      </c>
      <c r="C492" s="1">
        <v>3852</v>
      </c>
    </row>
    <row r="493" spans="1:3" x14ac:dyDescent="0.5">
      <c r="A493" s="1" t="s">
        <v>301</v>
      </c>
      <c r="B493" s="1">
        <v>0.14000000000000001</v>
      </c>
      <c r="C493" s="1">
        <v>152</v>
      </c>
    </row>
    <row r="494" spans="1:3" x14ac:dyDescent="0.5">
      <c r="A494" s="1" t="s">
        <v>617</v>
      </c>
      <c r="B494" s="1">
        <v>46.1</v>
      </c>
      <c r="C494" s="1">
        <v>58217</v>
      </c>
    </row>
    <row r="495" spans="1:3" x14ac:dyDescent="0.5">
      <c r="A495" s="1" t="s">
        <v>329</v>
      </c>
      <c r="B495" s="1">
        <v>0.37</v>
      </c>
      <c r="C495" s="1">
        <v>461</v>
      </c>
    </row>
    <row r="496" spans="1:3" x14ac:dyDescent="0.5">
      <c r="A496" s="1" t="s">
        <v>383</v>
      </c>
      <c r="B496" s="1">
        <v>0.05</v>
      </c>
      <c r="C496" s="1">
        <v>74</v>
      </c>
    </row>
    <row r="497" spans="1:3" x14ac:dyDescent="0.5">
      <c r="A497" s="1" t="s">
        <v>113</v>
      </c>
      <c r="B497" s="1">
        <v>52</v>
      </c>
      <c r="C497" s="1">
        <v>119515</v>
      </c>
    </row>
    <row r="498" spans="1:3" x14ac:dyDescent="0.5">
      <c r="A498" s="1" t="s">
        <v>87</v>
      </c>
      <c r="B498" s="1">
        <v>0.48</v>
      </c>
      <c r="C498" s="1">
        <v>725</v>
      </c>
    </row>
    <row r="499" spans="1:3" x14ac:dyDescent="0.5">
      <c r="A499" s="1" t="s">
        <v>547</v>
      </c>
      <c r="B499" s="1">
        <v>0.05</v>
      </c>
      <c r="C499" s="1">
        <v>68</v>
      </c>
    </row>
    <row r="500" spans="1:3" x14ac:dyDescent="0.5">
      <c r="A500" s="1" t="s">
        <v>631</v>
      </c>
      <c r="B500" s="1">
        <v>53.41</v>
      </c>
      <c r="C500" s="1">
        <v>74060</v>
      </c>
    </row>
    <row r="501" spans="1:3" x14ac:dyDescent="0.5">
      <c r="A501" s="1" t="s">
        <v>457</v>
      </c>
      <c r="B501" s="1">
        <v>0.02</v>
      </c>
      <c r="C501" s="1">
        <v>15</v>
      </c>
    </row>
    <row r="502" spans="1:3" x14ac:dyDescent="0.5">
      <c r="A502" s="1" t="s">
        <v>472</v>
      </c>
      <c r="B502" s="1">
        <v>0.18</v>
      </c>
      <c r="C502" s="1">
        <v>155</v>
      </c>
    </row>
    <row r="503" spans="1:3" x14ac:dyDescent="0.5">
      <c r="A503" s="1" t="s">
        <v>185</v>
      </c>
      <c r="B503" s="1">
        <v>59.95</v>
      </c>
      <c r="C503" s="1">
        <v>68200</v>
      </c>
    </row>
    <row r="504" spans="1:3" x14ac:dyDescent="0.5">
      <c r="A504" s="1" t="s">
        <v>581</v>
      </c>
      <c r="B504" s="1">
        <v>0.12</v>
      </c>
      <c r="C504" s="1">
        <v>143</v>
      </c>
    </row>
    <row r="505" spans="1:3" x14ac:dyDescent="0.5">
      <c r="A505" s="1" t="s">
        <v>520</v>
      </c>
      <c r="B505" s="1">
        <v>0.05</v>
      </c>
      <c r="C505" s="1">
        <v>77</v>
      </c>
    </row>
    <row r="506" spans="1:3" x14ac:dyDescent="0.5">
      <c r="A506" s="1" t="s">
        <v>191</v>
      </c>
      <c r="B506" s="1">
        <v>0.22</v>
      </c>
      <c r="C506" s="1">
        <v>252</v>
      </c>
    </row>
    <row r="507" spans="1:3" x14ac:dyDescent="0.5">
      <c r="A507" s="1" t="s">
        <v>607</v>
      </c>
      <c r="B507" s="1">
        <v>0.11</v>
      </c>
      <c r="C507" s="1">
        <v>221</v>
      </c>
    </row>
    <row r="508" spans="1:3" x14ac:dyDescent="0.5">
      <c r="A508" s="1" t="s">
        <v>402</v>
      </c>
      <c r="B508" s="1">
        <v>0.5</v>
      </c>
      <c r="C508" s="1">
        <v>903</v>
      </c>
    </row>
    <row r="509" spans="1:3" x14ac:dyDescent="0.5">
      <c r="A509" s="1" t="s">
        <v>162</v>
      </c>
      <c r="B509" s="1">
        <v>20.100000000000001</v>
      </c>
      <c r="C509" s="1">
        <v>32028</v>
      </c>
    </row>
    <row r="510" spans="1:3" x14ac:dyDescent="0.5">
      <c r="A510" s="1" t="s">
        <v>298</v>
      </c>
      <c r="B510" s="1">
        <v>0.09</v>
      </c>
      <c r="C510" s="1">
        <v>105</v>
      </c>
    </row>
    <row r="511" spans="1:3" x14ac:dyDescent="0.5">
      <c r="A511" s="1" t="s">
        <v>573</v>
      </c>
      <c r="B511" s="1">
        <v>41.28</v>
      </c>
      <c r="C511" s="1">
        <v>47444</v>
      </c>
    </row>
    <row r="512" spans="1:3" x14ac:dyDescent="0.5">
      <c r="A512" s="1" t="s">
        <v>225</v>
      </c>
      <c r="B512" s="1">
        <v>0.23</v>
      </c>
      <c r="C512" s="1">
        <v>224</v>
      </c>
    </row>
    <row r="513" spans="1:3" x14ac:dyDescent="0.5">
      <c r="A513" s="1" t="s">
        <v>295</v>
      </c>
      <c r="B513" s="1">
        <v>0.28000000000000003</v>
      </c>
      <c r="C513" s="1">
        <v>321</v>
      </c>
    </row>
    <row r="514" spans="1:3" x14ac:dyDescent="0.5">
      <c r="A514" s="1" t="s">
        <v>721</v>
      </c>
      <c r="B514" s="1">
        <v>0.02</v>
      </c>
      <c r="C514" s="1">
        <v>24</v>
      </c>
    </row>
    <row r="515" spans="1:3" x14ac:dyDescent="0.5">
      <c r="A515" s="1" t="s">
        <v>320</v>
      </c>
      <c r="B515" s="1">
        <v>0.09</v>
      </c>
      <c r="C515" s="1">
        <v>91</v>
      </c>
    </row>
    <row r="516" spans="1:3" x14ac:dyDescent="0.5">
      <c r="A516" s="1" t="s">
        <v>433</v>
      </c>
      <c r="B516" s="1">
        <v>0.15</v>
      </c>
      <c r="C516" s="1">
        <v>70</v>
      </c>
    </row>
    <row r="517" spans="1:3" x14ac:dyDescent="0.5">
      <c r="A517" s="1" t="s">
        <v>290</v>
      </c>
      <c r="B517" s="1">
        <v>0.38</v>
      </c>
      <c r="C517" s="1">
        <v>416</v>
      </c>
    </row>
    <row r="518" spans="1:3" x14ac:dyDescent="0.5">
      <c r="A518" s="1" t="s">
        <v>763</v>
      </c>
      <c r="B518" s="1">
        <v>0.11</v>
      </c>
      <c r="C518" s="1">
        <v>227</v>
      </c>
    </row>
    <row r="519" spans="1:3" x14ac:dyDescent="0.5">
      <c r="A519" s="1" t="s">
        <v>575</v>
      </c>
      <c r="B519" s="1">
        <v>54.08</v>
      </c>
      <c r="C519" s="1">
        <v>62155</v>
      </c>
    </row>
    <row r="520" spans="1:3" x14ac:dyDescent="0.5">
      <c r="A520" s="1" t="s">
        <v>288</v>
      </c>
      <c r="B520" s="1">
        <v>0.05</v>
      </c>
      <c r="C520" s="1">
        <v>60</v>
      </c>
    </row>
    <row r="521" spans="1:3" x14ac:dyDescent="0.5">
      <c r="A521" s="1" t="s">
        <v>445</v>
      </c>
      <c r="B521" s="1">
        <v>7.41</v>
      </c>
      <c r="C521" s="1">
        <v>4568</v>
      </c>
    </row>
    <row r="522" spans="1:3" x14ac:dyDescent="0.5">
      <c r="A522" s="1" t="s">
        <v>390</v>
      </c>
      <c r="B522" s="1">
        <v>52.46</v>
      </c>
      <c r="C522" s="1">
        <v>146295</v>
      </c>
    </row>
    <row r="523" spans="1:3" x14ac:dyDescent="0.5">
      <c r="A523" s="1" t="s">
        <v>776</v>
      </c>
      <c r="B523" s="1">
        <v>0.04</v>
      </c>
      <c r="C523" s="1">
        <v>71</v>
      </c>
    </row>
    <row r="524" spans="1:3" x14ac:dyDescent="0.5">
      <c r="A524" s="1" t="s">
        <v>155</v>
      </c>
      <c r="B524" s="1">
        <v>0.06</v>
      </c>
      <c r="C524" s="1">
        <v>72</v>
      </c>
    </row>
    <row r="525" spans="1:3" x14ac:dyDescent="0.5">
      <c r="A525" s="1" t="s">
        <v>568</v>
      </c>
      <c r="B525" s="1">
        <v>0.03</v>
      </c>
      <c r="C525" s="1">
        <v>28</v>
      </c>
    </row>
    <row r="526" spans="1:3" x14ac:dyDescent="0.5">
      <c r="A526" s="1" t="s">
        <v>64</v>
      </c>
      <c r="B526" s="1">
        <v>0.09</v>
      </c>
      <c r="C526" s="1">
        <v>107</v>
      </c>
    </row>
    <row r="527" spans="1:3" x14ac:dyDescent="0.5">
      <c r="A527" s="1" t="s">
        <v>459</v>
      </c>
      <c r="B527" s="1">
        <v>0.01</v>
      </c>
      <c r="C527" s="1">
        <v>8</v>
      </c>
    </row>
    <row r="528" spans="1:3" x14ac:dyDescent="0.5">
      <c r="A528" s="1" t="s">
        <v>571</v>
      </c>
      <c r="B528" s="1">
        <v>0.08</v>
      </c>
      <c r="C528" s="1">
        <v>89</v>
      </c>
    </row>
    <row r="529" spans="1:3" x14ac:dyDescent="0.5">
      <c r="A529" s="1" t="s">
        <v>682</v>
      </c>
      <c r="B529" s="1">
        <v>49.63</v>
      </c>
      <c r="C529" s="1">
        <v>62788</v>
      </c>
    </row>
    <row r="530" spans="1:3" x14ac:dyDescent="0.5">
      <c r="A530" s="1" t="s">
        <v>775</v>
      </c>
      <c r="B530" s="1">
        <v>0.08</v>
      </c>
      <c r="C530" s="1">
        <v>165</v>
      </c>
    </row>
    <row r="531" spans="1:3" x14ac:dyDescent="0.5">
      <c r="A531" s="1" t="s">
        <v>525</v>
      </c>
      <c r="B531" s="1">
        <v>0.13</v>
      </c>
      <c r="C531" s="1">
        <v>221</v>
      </c>
    </row>
    <row r="532" spans="1:3" x14ac:dyDescent="0.5">
      <c r="A532" s="1" t="s">
        <v>467</v>
      </c>
      <c r="B532" s="1">
        <v>0.03</v>
      </c>
      <c r="C532" s="1">
        <v>17</v>
      </c>
    </row>
    <row r="533" spans="1:3" x14ac:dyDescent="0.5">
      <c r="A533" s="1" t="s">
        <v>77</v>
      </c>
      <c r="B533" s="1">
        <v>0.03</v>
      </c>
      <c r="C533" s="1">
        <v>35</v>
      </c>
    </row>
    <row r="534" spans="1:3" x14ac:dyDescent="0.5">
      <c r="A534" s="1" t="s">
        <v>129</v>
      </c>
      <c r="B534" s="1">
        <v>0.03</v>
      </c>
      <c r="C534" s="1">
        <v>61</v>
      </c>
    </row>
    <row r="535" spans="1:3" x14ac:dyDescent="0.5">
      <c r="A535" s="1" t="s">
        <v>25</v>
      </c>
      <c r="B535" s="1">
        <v>47.57</v>
      </c>
      <c r="C535" s="1">
        <v>121181</v>
      </c>
    </row>
    <row r="536" spans="1:3" x14ac:dyDescent="0.5">
      <c r="A536" s="1" t="s">
        <v>710</v>
      </c>
      <c r="B536" s="1">
        <v>0.02</v>
      </c>
      <c r="C536" s="1">
        <v>35</v>
      </c>
    </row>
    <row r="537" spans="1:3" x14ac:dyDescent="0.5">
      <c r="A537" s="1" t="s">
        <v>78</v>
      </c>
      <c r="B537" s="1">
        <v>0.13</v>
      </c>
      <c r="C537" s="1">
        <v>133</v>
      </c>
    </row>
    <row r="538" spans="1:3" x14ac:dyDescent="0.5">
      <c r="A538" s="1" t="s">
        <v>130</v>
      </c>
      <c r="B538" s="1">
        <v>0.04</v>
      </c>
      <c r="C538" s="1">
        <v>84</v>
      </c>
    </row>
    <row r="539" spans="1:3" x14ac:dyDescent="0.5">
      <c r="A539" s="1" t="s">
        <v>460</v>
      </c>
      <c r="B539" s="1">
        <v>0.05</v>
      </c>
      <c r="C539" s="1">
        <v>30</v>
      </c>
    </row>
    <row r="540" spans="1:3" x14ac:dyDescent="0.5">
      <c r="A540" s="1" t="s">
        <v>461</v>
      </c>
      <c r="B540" s="1">
        <v>0.09</v>
      </c>
      <c r="C540" s="1">
        <v>53</v>
      </c>
    </row>
    <row r="541" spans="1:3" x14ac:dyDescent="0.5">
      <c r="A541" s="1" t="s">
        <v>501</v>
      </c>
      <c r="B541" s="1">
        <v>0.05</v>
      </c>
      <c r="C541" s="1">
        <v>35</v>
      </c>
    </row>
    <row r="542" spans="1:3" x14ac:dyDescent="0.5">
      <c r="A542" s="1" t="s">
        <v>619</v>
      </c>
      <c r="B542" s="1">
        <v>38.22</v>
      </c>
      <c r="C542" s="1">
        <v>55130</v>
      </c>
    </row>
    <row r="543" spans="1:3" x14ac:dyDescent="0.5">
      <c r="A543" s="1" t="s">
        <v>698</v>
      </c>
      <c r="B543" s="1">
        <v>0.12</v>
      </c>
      <c r="C543" s="1">
        <v>163</v>
      </c>
    </row>
    <row r="544" spans="1:3" x14ac:dyDescent="0.5">
      <c r="A544" s="1" t="s">
        <v>204</v>
      </c>
      <c r="B544" s="1">
        <v>6.23</v>
      </c>
      <c r="C544" s="1">
        <v>6897</v>
      </c>
    </row>
    <row r="545" spans="1:3" x14ac:dyDescent="0.5">
      <c r="A545" s="1" t="s">
        <v>244</v>
      </c>
      <c r="B545" s="1">
        <v>31.5</v>
      </c>
      <c r="C545" s="1">
        <v>22421</v>
      </c>
    </row>
    <row r="546" spans="1:3" x14ac:dyDescent="0.5">
      <c r="A546" s="1" t="s">
        <v>599</v>
      </c>
      <c r="B546" s="1">
        <v>0.36</v>
      </c>
      <c r="C546" s="1">
        <v>756</v>
      </c>
    </row>
    <row r="547" spans="1:3" x14ac:dyDescent="0.5">
      <c r="A547" s="1" t="s">
        <v>558</v>
      </c>
      <c r="B547" s="1">
        <v>0.16</v>
      </c>
      <c r="C547" s="1">
        <v>171</v>
      </c>
    </row>
    <row r="548" spans="1:3" x14ac:dyDescent="0.5">
      <c r="A548" s="1" t="s">
        <v>194</v>
      </c>
      <c r="B548" s="1">
        <v>5.8</v>
      </c>
      <c r="C548" s="1">
        <v>5784</v>
      </c>
    </row>
    <row r="549" spans="1:3" x14ac:dyDescent="0.5">
      <c r="A549" s="1" t="s">
        <v>487</v>
      </c>
      <c r="B549" s="1">
        <v>46.53</v>
      </c>
      <c r="C549" s="1">
        <v>39564</v>
      </c>
    </row>
    <row r="550" spans="1:3" x14ac:dyDescent="0.5">
      <c r="A550" s="1" t="s">
        <v>552</v>
      </c>
      <c r="B550" s="1">
        <v>0.05</v>
      </c>
      <c r="C550" s="1">
        <v>61</v>
      </c>
    </row>
    <row r="551" spans="1:3" x14ac:dyDescent="0.5">
      <c r="A551" s="1" t="s">
        <v>195</v>
      </c>
      <c r="B551" s="1">
        <v>36</v>
      </c>
      <c r="C551" s="1">
        <v>35871</v>
      </c>
    </row>
    <row r="552" spans="1:3" x14ac:dyDescent="0.5">
      <c r="A552" s="1" t="s">
        <v>556</v>
      </c>
      <c r="B552" s="1">
        <v>44.67</v>
      </c>
      <c r="C552" s="1">
        <v>46406</v>
      </c>
    </row>
    <row r="553" spans="1:3" x14ac:dyDescent="0.5">
      <c r="A553" s="1" t="s">
        <v>192</v>
      </c>
      <c r="B553" s="1">
        <v>0.31</v>
      </c>
      <c r="C553" s="1">
        <v>358</v>
      </c>
    </row>
    <row r="554" spans="1:3" x14ac:dyDescent="0.5">
      <c r="A554" s="1" t="s">
        <v>774</v>
      </c>
      <c r="B554" s="1">
        <v>0.06</v>
      </c>
      <c r="C554" s="1">
        <v>128</v>
      </c>
    </row>
    <row r="555" spans="1:3" x14ac:dyDescent="0.5">
      <c r="A555" s="1" t="s">
        <v>537</v>
      </c>
      <c r="B555" s="1">
        <v>0.41</v>
      </c>
      <c r="C555" s="1">
        <v>397</v>
      </c>
    </row>
    <row r="556" spans="1:3" x14ac:dyDescent="0.5">
      <c r="A556" s="1" t="s">
        <v>718</v>
      </c>
      <c r="B556" s="1">
        <v>0.13</v>
      </c>
      <c r="C556" s="1">
        <v>177</v>
      </c>
    </row>
    <row r="557" spans="1:3" x14ac:dyDescent="0.5">
      <c r="A557" s="1" t="s">
        <v>228</v>
      </c>
      <c r="B557" s="1">
        <v>0.6</v>
      </c>
      <c r="C557" s="1">
        <v>709</v>
      </c>
    </row>
    <row r="558" spans="1:3" x14ac:dyDescent="0.5">
      <c r="A558" s="1" t="s">
        <v>42</v>
      </c>
      <c r="B558" s="1">
        <v>39.479999999999997</v>
      </c>
      <c r="C558" s="1">
        <v>100580</v>
      </c>
    </row>
    <row r="559" spans="1:3" x14ac:dyDescent="0.5">
      <c r="A559" s="1" t="s">
        <v>11</v>
      </c>
      <c r="B559" s="1">
        <v>44.99</v>
      </c>
      <c r="C559" s="1">
        <v>78619</v>
      </c>
    </row>
    <row r="560" spans="1:3" x14ac:dyDescent="0.5">
      <c r="A560" s="1" t="s">
        <v>357</v>
      </c>
      <c r="B560" s="1">
        <v>0.15</v>
      </c>
      <c r="C560" s="1">
        <v>420</v>
      </c>
    </row>
    <row r="561" spans="1:3" x14ac:dyDescent="0.5">
      <c r="A561" s="1" t="s">
        <v>513</v>
      </c>
      <c r="B561" s="1">
        <v>0.12</v>
      </c>
      <c r="C561" s="1">
        <v>140</v>
      </c>
    </row>
    <row r="562" spans="1:3" x14ac:dyDescent="0.5">
      <c r="A562" s="1" t="s">
        <v>305</v>
      </c>
      <c r="B562" s="1">
        <v>0.25</v>
      </c>
      <c r="C562" s="1">
        <v>288</v>
      </c>
    </row>
    <row r="563" spans="1:3" x14ac:dyDescent="0.5">
      <c r="A563" s="1" t="s">
        <v>212</v>
      </c>
      <c r="B563" s="1">
        <v>0.06</v>
      </c>
      <c r="C563" s="1">
        <v>63</v>
      </c>
    </row>
    <row r="564" spans="1:3" x14ac:dyDescent="0.5">
      <c r="A564" s="1" t="s">
        <v>612</v>
      </c>
      <c r="B564" s="1">
        <v>0.13</v>
      </c>
      <c r="C564" s="1">
        <v>270</v>
      </c>
    </row>
    <row r="565" spans="1:3" x14ac:dyDescent="0.5">
      <c r="A565" s="1" t="s">
        <v>358</v>
      </c>
      <c r="B565" s="1">
        <v>0.25</v>
      </c>
      <c r="C565" s="1">
        <v>687</v>
      </c>
    </row>
    <row r="566" spans="1:3" x14ac:dyDescent="0.5">
      <c r="A566" s="1" t="s">
        <v>610</v>
      </c>
      <c r="B566" s="1">
        <v>0.14000000000000001</v>
      </c>
      <c r="C566" s="1">
        <v>290</v>
      </c>
    </row>
    <row r="567" spans="1:3" x14ac:dyDescent="0.5">
      <c r="A567" s="1" t="s">
        <v>608</v>
      </c>
      <c r="B567" s="1">
        <v>18.88</v>
      </c>
      <c r="C567" s="1">
        <v>39558</v>
      </c>
    </row>
    <row r="568" spans="1:3" x14ac:dyDescent="0.5">
      <c r="A568" s="1" t="s">
        <v>555</v>
      </c>
      <c r="B568" s="1">
        <v>47.74</v>
      </c>
      <c r="C568" s="1">
        <v>49594</v>
      </c>
    </row>
    <row r="569" spans="1:3" x14ac:dyDescent="0.5">
      <c r="A569" s="1" t="s">
        <v>272</v>
      </c>
      <c r="B569" s="1">
        <v>0.11</v>
      </c>
      <c r="C569" s="1">
        <v>116</v>
      </c>
    </row>
    <row r="570" spans="1:3" x14ac:dyDescent="0.5">
      <c r="A570" s="1" t="s">
        <v>740</v>
      </c>
      <c r="B570" s="1">
        <v>0.06</v>
      </c>
      <c r="C570" s="1">
        <v>89</v>
      </c>
    </row>
    <row r="571" spans="1:3" x14ac:dyDescent="0.5">
      <c r="A571" s="1" t="s">
        <v>438</v>
      </c>
      <c r="B571" s="1">
        <v>0.15</v>
      </c>
      <c r="C571" s="1">
        <v>150</v>
      </c>
    </row>
    <row r="572" spans="1:3" x14ac:dyDescent="0.5">
      <c r="A572" s="1" t="s">
        <v>68</v>
      </c>
      <c r="B572" s="1">
        <v>5.43</v>
      </c>
      <c r="C572" s="1">
        <v>5460</v>
      </c>
    </row>
    <row r="573" spans="1:3" x14ac:dyDescent="0.5">
      <c r="A573" s="1" t="s">
        <v>281</v>
      </c>
      <c r="B573" s="1">
        <v>41.98</v>
      </c>
      <c r="C573" s="1">
        <v>45908</v>
      </c>
    </row>
    <row r="574" spans="1:3" x14ac:dyDescent="0.5">
      <c r="A574" s="1" t="s">
        <v>733</v>
      </c>
      <c r="B574" s="1">
        <v>0.06</v>
      </c>
      <c r="C574" s="1">
        <v>84</v>
      </c>
    </row>
    <row r="575" spans="1:3" x14ac:dyDescent="0.5">
      <c r="A575" s="1" t="s">
        <v>324</v>
      </c>
      <c r="B575" s="1">
        <v>41.94</v>
      </c>
      <c r="C575" s="1">
        <v>40478</v>
      </c>
    </row>
    <row r="576" spans="1:3" x14ac:dyDescent="0.5">
      <c r="A576" s="1" t="s">
        <v>326</v>
      </c>
      <c r="B576" s="1">
        <v>0.15</v>
      </c>
      <c r="C576" s="1">
        <v>145</v>
      </c>
    </row>
    <row r="577" spans="1:3" x14ac:dyDescent="0.5">
      <c r="A577" s="1" t="s">
        <v>368</v>
      </c>
      <c r="B577" s="1">
        <v>0.09</v>
      </c>
      <c r="C577" s="1">
        <v>168</v>
      </c>
    </row>
    <row r="578" spans="1:3" x14ac:dyDescent="0.5">
      <c r="A578" s="1" t="s">
        <v>186</v>
      </c>
      <c r="B578" s="1">
        <v>0.36</v>
      </c>
      <c r="C578" s="1">
        <v>411</v>
      </c>
    </row>
    <row r="579" spans="1:3" x14ac:dyDescent="0.5">
      <c r="A579" s="1" t="s">
        <v>313</v>
      </c>
      <c r="B579" s="1">
        <v>48.7</v>
      </c>
      <c r="C579" s="1">
        <v>50179</v>
      </c>
    </row>
    <row r="580" spans="1:3" x14ac:dyDescent="0.5">
      <c r="A580" s="1" t="s">
        <v>548</v>
      </c>
      <c r="B580" s="1">
        <v>7.0000000000000007E-2</v>
      </c>
      <c r="C580" s="1">
        <v>83</v>
      </c>
    </row>
    <row r="581" spans="1:3" x14ac:dyDescent="0.5">
      <c r="A581" s="1" t="s">
        <v>229</v>
      </c>
      <c r="B581" s="1">
        <v>47.45</v>
      </c>
      <c r="C581" s="1">
        <v>56177</v>
      </c>
    </row>
    <row r="582" spans="1:3" x14ac:dyDescent="0.5">
      <c r="A582" s="1" t="s">
        <v>421</v>
      </c>
      <c r="B582" s="1">
        <v>7.0000000000000007E-2</v>
      </c>
      <c r="C582" s="1">
        <v>92</v>
      </c>
    </row>
    <row r="583" spans="1:3" x14ac:dyDescent="0.5">
      <c r="A583" s="1" t="s">
        <v>488</v>
      </c>
      <c r="B583" s="1">
        <v>44.02</v>
      </c>
      <c r="C583" s="1">
        <v>37433</v>
      </c>
    </row>
    <row r="584" spans="1:3" x14ac:dyDescent="0.5">
      <c r="A584" s="1" t="s">
        <v>261</v>
      </c>
      <c r="B584" s="1">
        <v>0.19</v>
      </c>
      <c r="C584" s="1">
        <v>190</v>
      </c>
    </row>
    <row r="585" spans="1:3" x14ac:dyDescent="0.5">
      <c r="A585" s="1" t="s">
        <v>46</v>
      </c>
      <c r="B585" s="1">
        <v>0.28999999999999998</v>
      </c>
      <c r="C585" s="1">
        <v>739</v>
      </c>
    </row>
    <row r="586" spans="1:3" x14ac:dyDescent="0.5">
      <c r="A586" s="1" t="s">
        <v>205</v>
      </c>
      <c r="B586" s="1">
        <v>0.16</v>
      </c>
      <c r="C586" s="1">
        <v>181</v>
      </c>
    </row>
    <row r="587" spans="1:3" x14ac:dyDescent="0.5">
      <c r="A587" s="1" t="s">
        <v>708</v>
      </c>
      <c r="B587" s="1">
        <v>0.02</v>
      </c>
      <c r="C587" s="1">
        <v>30</v>
      </c>
    </row>
    <row r="588" spans="1:3" x14ac:dyDescent="0.5">
      <c r="A588" s="1" t="s">
        <v>142</v>
      </c>
      <c r="B588" s="1">
        <v>0.1</v>
      </c>
      <c r="C588" s="1">
        <v>212</v>
      </c>
    </row>
    <row r="589" spans="1:3" x14ac:dyDescent="0.5">
      <c r="A589" s="1" t="s">
        <v>549</v>
      </c>
      <c r="B589" s="1">
        <v>0.11</v>
      </c>
      <c r="C589" s="1">
        <v>143</v>
      </c>
    </row>
    <row r="590" spans="1:3" x14ac:dyDescent="0.5">
      <c r="A590" s="1" t="s">
        <v>122</v>
      </c>
      <c r="B590" s="1">
        <v>0.28999999999999998</v>
      </c>
      <c r="C590" s="1">
        <v>548</v>
      </c>
    </row>
    <row r="591" spans="1:3" x14ac:dyDescent="0.5">
      <c r="A591" s="1" t="s">
        <v>720</v>
      </c>
      <c r="B591" s="1">
        <v>0.04</v>
      </c>
      <c r="C591" s="1">
        <v>50</v>
      </c>
    </row>
    <row r="592" spans="1:3" x14ac:dyDescent="0.5">
      <c r="A592" s="1" t="s">
        <v>177</v>
      </c>
      <c r="B592" s="1">
        <v>3.48</v>
      </c>
      <c r="C592" s="1">
        <v>3765</v>
      </c>
    </row>
    <row r="593" spans="1:3" x14ac:dyDescent="0.5">
      <c r="A593" s="1" t="s">
        <v>389</v>
      </c>
      <c r="B593" s="1">
        <v>42.16</v>
      </c>
      <c r="C593" s="1">
        <v>117572</v>
      </c>
    </row>
    <row r="594" spans="1:3" x14ac:dyDescent="0.5">
      <c r="A594" s="1" t="s">
        <v>640</v>
      </c>
      <c r="B594" s="1">
        <v>3.42</v>
      </c>
      <c r="C594" s="1">
        <v>4316</v>
      </c>
    </row>
    <row r="595" spans="1:3" x14ac:dyDescent="0.5">
      <c r="A595" s="1" t="s">
        <v>730</v>
      </c>
      <c r="B595" s="1">
        <v>0.32</v>
      </c>
      <c r="C595" s="1">
        <v>454</v>
      </c>
    </row>
    <row r="596" spans="1:3" x14ac:dyDescent="0.5">
      <c r="A596" s="1" t="s">
        <v>496</v>
      </c>
      <c r="B596" s="1">
        <v>0.26</v>
      </c>
      <c r="C596" s="1">
        <v>202</v>
      </c>
    </row>
    <row r="597" spans="1:3" x14ac:dyDescent="0.5">
      <c r="A597" s="1" t="s">
        <v>127</v>
      </c>
      <c r="B597" s="1">
        <v>0.09</v>
      </c>
      <c r="C597" s="1">
        <v>166</v>
      </c>
    </row>
    <row r="598" spans="1:3" x14ac:dyDescent="0.5">
      <c r="A598" s="1" t="s">
        <v>479</v>
      </c>
      <c r="B598" s="1">
        <v>0.09</v>
      </c>
      <c r="C598" s="1">
        <v>80</v>
      </c>
    </row>
    <row r="599" spans="1:3" x14ac:dyDescent="0.5">
      <c r="A599" s="1" t="s">
        <v>44</v>
      </c>
      <c r="B599" s="1">
        <v>0.22</v>
      </c>
      <c r="C599" s="1">
        <v>569</v>
      </c>
    </row>
    <row r="600" spans="1:3" x14ac:dyDescent="0.5">
      <c r="A600" s="1" t="s">
        <v>134</v>
      </c>
      <c r="B600" s="1">
        <v>0.21</v>
      </c>
      <c r="C600" s="1">
        <v>408</v>
      </c>
    </row>
    <row r="601" spans="1:3" x14ac:dyDescent="0.5">
      <c r="A601" s="1" t="s">
        <v>627</v>
      </c>
      <c r="B601" s="1">
        <v>0.32</v>
      </c>
      <c r="C601" s="1">
        <v>418</v>
      </c>
    </row>
    <row r="602" spans="1:3" x14ac:dyDescent="0.5">
      <c r="A602" s="1" t="s">
        <v>412</v>
      </c>
      <c r="B602" s="1">
        <v>41.13</v>
      </c>
      <c r="C602" s="1">
        <v>53675</v>
      </c>
    </row>
    <row r="603" spans="1:3" x14ac:dyDescent="0.5">
      <c r="A603" s="1" t="s">
        <v>114</v>
      </c>
      <c r="B603" s="1">
        <v>8.2900000000000009</v>
      </c>
      <c r="C603" s="1">
        <v>18785</v>
      </c>
    </row>
    <row r="604" spans="1:3" x14ac:dyDescent="0.5">
      <c r="A604" s="1" t="s">
        <v>50</v>
      </c>
      <c r="B604" s="1">
        <v>0.81</v>
      </c>
      <c r="C604" s="1">
        <v>985</v>
      </c>
    </row>
    <row r="605" spans="1:3" x14ac:dyDescent="0.5">
      <c r="A605" s="1" t="s">
        <v>628</v>
      </c>
      <c r="B605" s="1">
        <v>0.13</v>
      </c>
      <c r="C605" s="1">
        <v>167</v>
      </c>
    </row>
    <row r="606" spans="1:3" x14ac:dyDescent="0.5">
      <c r="A606" s="1" t="s">
        <v>709</v>
      </c>
      <c r="B606" s="1">
        <v>0.12</v>
      </c>
      <c r="C606" s="1">
        <v>174</v>
      </c>
    </row>
    <row r="607" spans="1:3" x14ac:dyDescent="0.5">
      <c r="A607" s="1" t="s">
        <v>745</v>
      </c>
      <c r="B607" s="1">
        <v>48.48</v>
      </c>
      <c r="C607" s="1">
        <v>80504</v>
      </c>
    </row>
    <row r="608" spans="1:3" x14ac:dyDescent="0.5">
      <c r="A608" s="1" t="s">
        <v>206</v>
      </c>
      <c r="B608" s="1">
        <v>0.1</v>
      </c>
      <c r="C608" s="1">
        <v>115</v>
      </c>
    </row>
    <row r="609" spans="1:3" x14ac:dyDescent="0.5">
      <c r="A609" s="1" t="s">
        <v>713</v>
      </c>
      <c r="B609" s="1">
        <v>0.05</v>
      </c>
      <c r="C609" s="1">
        <v>72</v>
      </c>
    </row>
    <row r="610" spans="1:3" x14ac:dyDescent="0.5">
      <c r="A610" s="1" t="s">
        <v>752</v>
      </c>
      <c r="B610" s="1">
        <v>0.08</v>
      </c>
      <c r="C610" s="1">
        <v>133</v>
      </c>
    </row>
    <row r="611" spans="1:3" x14ac:dyDescent="0.5">
      <c r="A611" s="1" t="s">
        <v>702</v>
      </c>
      <c r="B611" s="1">
        <v>2.52</v>
      </c>
      <c r="C611" s="1">
        <v>3639</v>
      </c>
    </row>
    <row r="612" spans="1:3" x14ac:dyDescent="0.5">
      <c r="A612" s="1" t="s">
        <v>314</v>
      </c>
      <c r="B612" s="1">
        <v>42.26</v>
      </c>
      <c r="C612" s="1">
        <v>43547</v>
      </c>
    </row>
    <row r="613" spans="1:3" x14ac:dyDescent="0.5">
      <c r="A613" s="1" t="s">
        <v>49</v>
      </c>
      <c r="B613" s="1">
        <v>45.07</v>
      </c>
      <c r="C613" s="1">
        <v>54773</v>
      </c>
    </row>
    <row r="614" spans="1:3" x14ac:dyDescent="0.5">
      <c r="A614" s="1" t="s">
        <v>51</v>
      </c>
      <c r="B614" s="1">
        <v>46.03</v>
      </c>
      <c r="C614" s="1">
        <v>55941</v>
      </c>
    </row>
    <row r="615" spans="1:3" x14ac:dyDescent="0.5">
      <c r="A615" s="1" t="s">
        <v>101</v>
      </c>
      <c r="B615" s="1">
        <v>2.81</v>
      </c>
      <c r="C615" s="1">
        <v>5258</v>
      </c>
    </row>
    <row r="616" spans="1:3" x14ac:dyDescent="0.5">
      <c r="A616" s="1" t="s">
        <v>403</v>
      </c>
      <c r="B616" s="1">
        <v>1.61</v>
      </c>
      <c r="C616" s="1">
        <v>2902</v>
      </c>
    </row>
    <row r="617" spans="1:3" x14ac:dyDescent="0.5">
      <c r="A617" s="1" t="s">
        <v>726</v>
      </c>
      <c r="B617" s="1">
        <v>0.03</v>
      </c>
      <c r="C617" s="1">
        <v>46</v>
      </c>
    </row>
    <row r="618" spans="1:3" x14ac:dyDescent="0.5">
      <c r="A618" s="1" t="s">
        <v>197</v>
      </c>
      <c r="B618" s="1">
        <v>0.12</v>
      </c>
      <c r="C618" s="1">
        <v>115</v>
      </c>
    </row>
    <row r="619" spans="1:3" x14ac:dyDescent="0.5">
      <c r="A619" s="1" t="s">
        <v>563</v>
      </c>
      <c r="B619" s="1">
        <v>0.18</v>
      </c>
      <c r="C619" s="1">
        <v>193</v>
      </c>
    </row>
    <row r="620" spans="1:3" x14ac:dyDescent="0.5">
      <c r="A620" s="1" t="s">
        <v>52</v>
      </c>
      <c r="B620" s="1">
        <v>40.450000000000003</v>
      </c>
      <c r="C620" s="1">
        <v>72866</v>
      </c>
    </row>
    <row r="621" spans="1:3" x14ac:dyDescent="0.5">
      <c r="A621" s="1" t="s">
        <v>344</v>
      </c>
      <c r="B621" s="1">
        <v>0.05</v>
      </c>
      <c r="C621" s="1">
        <v>60</v>
      </c>
    </row>
    <row r="622" spans="1:3" x14ac:dyDescent="0.5">
      <c r="A622" s="1" t="s">
        <v>469</v>
      </c>
      <c r="B622" s="1">
        <v>45.44</v>
      </c>
      <c r="C622" s="1">
        <v>38859</v>
      </c>
    </row>
    <row r="623" spans="1:3" x14ac:dyDescent="0.5">
      <c r="A623" s="1" t="s">
        <v>250</v>
      </c>
      <c r="B623" s="1">
        <v>0.15</v>
      </c>
      <c r="C623" s="1">
        <v>130</v>
      </c>
    </row>
    <row r="624" spans="1:3" x14ac:dyDescent="0.5">
      <c r="A624" s="1" t="s">
        <v>675</v>
      </c>
      <c r="B624" s="1">
        <v>0.22</v>
      </c>
      <c r="C624" s="1">
        <v>235</v>
      </c>
    </row>
    <row r="625" spans="1:3" x14ac:dyDescent="0.5">
      <c r="A625" s="1" t="s">
        <v>201</v>
      </c>
      <c r="B625" s="1">
        <v>53.36</v>
      </c>
      <c r="C625" s="1">
        <v>59073</v>
      </c>
    </row>
    <row r="626" spans="1:3" x14ac:dyDescent="0.5">
      <c r="A626" s="1" t="s">
        <v>441</v>
      </c>
      <c r="B626" s="1">
        <v>0.15</v>
      </c>
      <c r="C626" s="1">
        <v>144</v>
      </c>
    </row>
    <row r="627" spans="1:3" x14ac:dyDescent="0.5">
      <c r="A627" s="1" t="s">
        <v>435</v>
      </c>
      <c r="B627" s="1">
        <v>48.01</v>
      </c>
      <c r="C627" s="1">
        <v>46671</v>
      </c>
    </row>
    <row r="628" spans="1:3" x14ac:dyDescent="0.5">
      <c r="A628" s="1" t="s">
        <v>350</v>
      </c>
      <c r="B628" s="1">
        <v>0.16</v>
      </c>
      <c r="C628" s="1">
        <v>443</v>
      </c>
    </row>
    <row r="629" spans="1:3" x14ac:dyDescent="0.5">
      <c r="A629" s="1" t="s">
        <v>232</v>
      </c>
      <c r="B629" s="1">
        <v>0.04</v>
      </c>
      <c r="C629" s="1">
        <v>50</v>
      </c>
    </row>
    <row r="630" spans="1:3" x14ac:dyDescent="0.5">
      <c r="A630" s="1" t="s">
        <v>692</v>
      </c>
      <c r="B630" s="1">
        <v>48.45</v>
      </c>
      <c r="C630" s="1">
        <v>66353</v>
      </c>
    </row>
    <row r="631" spans="1:3" x14ac:dyDescent="0.5">
      <c r="A631" s="1" t="s">
        <v>618</v>
      </c>
      <c r="B631" s="1">
        <v>1.33</v>
      </c>
      <c r="C631" s="1">
        <v>1681</v>
      </c>
    </row>
    <row r="632" spans="1:3" x14ac:dyDescent="0.5">
      <c r="A632" s="1" t="s">
        <v>670</v>
      </c>
      <c r="B632" s="1">
        <v>7.0000000000000007E-2</v>
      </c>
      <c r="C632" s="1">
        <v>96</v>
      </c>
    </row>
    <row r="633" spans="1:3" x14ac:dyDescent="0.5">
      <c r="A633" s="1" t="s">
        <v>110</v>
      </c>
      <c r="B633" s="1">
        <v>0.09</v>
      </c>
      <c r="C633" s="1">
        <v>167</v>
      </c>
    </row>
    <row r="634" spans="1:3" x14ac:dyDescent="0.5">
      <c r="A634" s="1" t="s">
        <v>83</v>
      </c>
      <c r="B634" s="1">
        <v>0.12</v>
      </c>
      <c r="C634" s="1">
        <v>116</v>
      </c>
    </row>
    <row r="635" spans="1:3" x14ac:dyDescent="0.5">
      <c r="A635" s="1" t="s">
        <v>196</v>
      </c>
      <c r="B635" s="1">
        <v>0.23</v>
      </c>
      <c r="C635" s="1">
        <v>216</v>
      </c>
    </row>
    <row r="636" spans="1:3" x14ac:dyDescent="0.5">
      <c r="A636" s="1" t="s">
        <v>40</v>
      </c>
      <c r="B636" s="1">
        <v>0.23</v>
      </c>
      <c r="C636" s="1">
        <v>589</v>
      </c>
    </row>
    <row r="637" spans="1:3" x14ac:dyDescent="0.5">
      <c r="A637" s="1" t="s">
        <v>285</v>
      </c>
      <c r="B637" s="1">
        <v>0.06</v>
      </c>
      <c r="C637" s="1">
        <v>63</v>
      </c>
    </row>
    <row r="638" spans="1:3" x14ac:dyDescent="0.5">
      <c r="A638" s="1" t="s">
        <v>512</v>
      </c>
      <c r="B638" s="1">
        <v>0.09</v>
      </c>
      <c r="C638" s="1">
        <v>104</v>
      </c>
    </row>
    <row r="639" spans="1:3" x14ac:dyDescent="0.5">
      <c r="A639" s="1" t="s">
        <v>176</v>
      </c>
      <c r="B639" s="1">
        <v>65.010000000000005</v>
      </c>
      <c r="C639" s="1">
        <v>70365</v>
      </c>
    </row>
    <row r="640" spans="1:3" x14ac:dyDescent="0.5">
      <c r="A640" s="1" t="s">
        <v>651</v>
      </c>
      <c r="B640" s="1">
        <v>0.11</v>
      </c>
      <c r="C640" s="1">
        <v>135</v>
      </c>
    </row>
    <row r="641" spans="1:3" x14ac:dyDescent="0.5">
      <c r="A641" s="1" t="s">
        <v>668</v>
      </c>
      <c r="B641" s="1">
        <v>39.35</v>
      </c>
      <c r="C641" s="1">
        <v>56424</v>
      </c>
    </row>
    <row r="642" spans="1:3" x14ac:dyDescent="0.5">
      <c r="A642" s="1" t="s">
        <v>19</v>
      </c>
      <c r="B642" s="1">
        <v>0.17</v>
      </c>
      <c r="C642" s="1">
        <v>301</v>
      </c>
    </row>
    <row r="643" spans="1:3" x14ac:dyDescent="0.5">
      <c r="A643" s="1" t="s">
        <v>712</v>
      </c>
      <c r="B643" s="1">
        <v>0.38</v>
      </c>
      <c r="C643" s="1">
        <v>550</v>
      </c>
    </row>
    <row r="644" spans="1:3" x14ac:dyDescent="0.5">
      <c r="A644" s="1" t="s">
        <v>655</v>
      </c>
      <c r="B644" s="1">
        <v>0.05</v>
      </c>
      <c r="C644" s="1">
        <v>69</v>
      </c>
    </row>
    <row r="645" spans="1:3" x14ac:dyDescent="0.5">
      <c r="A645" s="1" t="s">
        <v>688</v>
      </c>
      <c r="B645" s="1">
        <v>0.46</v>
      </c>
      <c r="C645" s="1">
        <v>579</v>
      </c>
    </row>
    <row r="646" spans="1:3" x14ac:dyDescent="0.5">
      <c r="A646" s="1" t="s">
        <v>375</v>
      </c>
      <c r="B646" s="1">
        <v>43.95</v>
      </c>
      <c r="C646" s="1">
        <v>61308</v>
      </c>
    </row>
    <row r="647" spans="1:3" x14ac:dyDescent="0.5">
      <c r="A647" s="1" t="s">
        <v>437</v>
      </c>
      <c r="B647" s="1">
        <v>4.13</v>
      </c>
      <c r="C647" s="1">
        <v>4015</v>
      </c>
    </row>
    <row r="648" spans="1:3" x14ac:dyDescent="0.5">
      <c r="A648" s="1" t="s">
        <v>672</v>
      </c>
      <c r="B648" s="1">
        <v>0.13</v>
      </c>
      <c r="C648" s="1">
        <v>191</v>
      </c>
    </row>
    <row r="649" spans="1:3" x14ac:dyDescent="0.5">
      <c r="A649" s="1" t="s">
        <v>397</v>
      </c>
      <c r="B649" s="1">
        <v>0.06</v>
      </c>
      <c r="C649" s="1">
        <v>157</v>
      </c>
    </row>
    <row r="650" spans="1:3" x14ac:dyDescent="0.5">
      <c r="A650" s="1" t="s">
        <v>444</v>
      </c>
      <c r="B650" s="1">
        <v>0.23</v>
      </c>
      <c r="C650" s="1">
        <v>142</v>
      </c>
    </row>
    <row r="651" spans="1:3" x14ac:dyDescent="0.5">
      <c r="A651" s="1" t="s">
        <v>574</v>
      </c>
      <c r="B651" s="1">
        <v>2.0099999999999998</v>
      </c>
      <c r="C651" s="1">
        <v>2313</v>
      </c>
    </row>
    <row r="652" spans="1:3" x14ac:dyDescent="0.5">
      <c r="A652" s="1" t="s">
        <v>432</v>
      </c>
      <c r="B652" s="1">
        <v>46.76</v>
      </c>
      <c r="C652" s="1">
        <v>22191</v>
      </c>
    </row>
    <row r="653" spans="1:3" x14ac:dyDescent="0.5">
      <c r="A653" s="1" t="s">
        <v>762</v>
      </c>
      <c r="B653" s="1">
        <v>0.1</v>
      </c>
      <c r="C653" s="1">
        <v>192</v>
      </c>
    </row>
    <row r="654" spans="1:3" x14ac:dyDescent="0.5">
      <c r="A654" s="1" t="s">
        <v>111</v>
      </c>
      <c r="B654" s="1">
        <v>0.06</v>
      </c>
      <c r="C654" s="1">
        <v>117</v>
      </c>
    </row>
    <row r="655" spans="1:3" x14ac:dyDescent="0.5">
      <c r="A655" s="1" t="s">
        <v>286</v>
      </c>
      <c r="B655" s="1">
        <v>0.06</v>
      </c>
      <c r="C655" s="1">
        <v>70</v>
      </c>
    </row>
    <row r="656" spans="1:3" x14ac:dyDescent="0.5">
      <c r="A656" s="1" t="s">
        <v>310</v>
      </c>
      <c r="B656" s="1">
        <v>7.0000000000000007E-2</v>
      </c>
      <c r="C656" s="1">
        <v>84</v>
      </c>
    </row>
    <row r="657" spans="1:3" x14ac:dyDescent="0.5">
      <c r="A657" s="1" t="s">
        <v>781</v>
      </c>
      <c r="B657" s="1">
        <v>0.09</v>
      </c>
      <c r="C657" s="1">
        <v>173</v>
      </c>
    </row>
    <row r="658" spans="1:3" x14ac:dyDescent="0.5">
      <c r="A658" s="1" t="s">
        <v>75</v>
      </c>
      <c r="B658" s="1">
        <v>0.03</v>
      </c>
      <c r="C658" s="1">
        <v>27</v>
      </c>
    </row>
    <row r="659" spans="1:3" x14ac:dyDescent="0.5">
      <c r="A659" s="1" t="s">
        <v>495</v>
      </c>
      <c r="B659" s="1">
        <v>4.0199999999999996</v>
      </c>
      <c r="C659" s="1">
        <v>3079</v>
      </c>
    </row>
    <row r="660" spans="1:3" x14ac:dyDescent="0.5">
      <c r="A660" s="1" t="s">
        <v>271</v>
      </c>
      <c r="B660" s="1">
        <v>50.88</v>
      </c>
      <c r="C660" s="1">
        <v>52297</v>
      </c>
    </row>
    <row r="661" spans="1:3" x14ac:dyDescent="0.5">
      <c r="A661" s="1" t="s">
        <v>223</v>
      </c>
      <c r="B661" s="1">
        <v>0.12</v>
      </c>
      <c r="C661" s="1">
        <v>118</v>
      </c>
    </row>
    <row r="662" spans="1:3" x14ac:dyDescent="0.5">
      <c r="A662" s="1" t="s">
        <v>62</v>
      </c>
      <c r="B662" s="1">
        <v>0.06</v>
      </c>
      <c r="C662" s="1">
        <v>69</v>
      </c>
    </row>
    <row r="663" spans="1:3" x14ac:dyDescent="0.5">
      <c r="A663" s="1" t="s">
        <v>165</v>
      </c>
      <c r="B663" s="1">
        <v>0.24</v>
      </c>
      <c r="C663" s="1">
        <v>390</v>
      </c>
    </row>
    <row r="664" spans="1:3" x14ac:dyDescent="0.5">
      <c r="A664" s="1" t="s">
        <v>773</v>
      </c>
      <c r="B664" s="1">
        <v>0.04</v>
      </c>
      <c r="C664" s="1">
        <v>90</v>
      </c>
    </row>
    <row r="665" spans="1:3" x14ac:dyDescent="0.5">
      <c r="A665" s="1" t="s">
        <v>125</v>
      </c>
      <c r="B665" s="1">
        <v>0.05</v>
      </c>
      <c r="C665" s="1">
        <v>87</v>
      </c>
    </row>
    <row r="666" spans="1:3" x14ac:dyDescent="0.5">
      <c r="A666" s="1" t="s">
        <v>399</v>
      </c>
      <c r="B666" s="1">
        <v>0.2</v>
      </c>
      <c r="C666" s="1">
        <v>569</v>
      </c>
    </row>
    <row r="667" spans="1:3" x14ac:dyDescent="0.5">
      <c r="A667" s="1" t="s">
        <v>396</v>
      </c>
      <c r="B667" s="1">
        <v>0.04</v>
      </c>
      <c r="C667" s="1">
        <v>121</v>
      </c>
    </row>
    <row r="668" spans="1:3" x14ac:dyDescent="0.5">
      <c r="A668" s="1" t="s">
        <v>381</v>
      </c>
      <c r="B668" s="1">
        <v>0.03</v>
      </c>
      <c r="C668" s="1">
        <v>44</v>
      </c>
    </row>
    <row r="669" spans="1:3" x14ac:dyDescent="0.5">
      <c r="A669" s="1" t="s">
        <v>780</v>
      </c>
      <c r="B669" s="1">
        <v>0.11</v>
      </c>
      <c r="C669" s="1">
        <v>229</v>
      </c>
    </row>
    <row r="670" spans="1:3" x14ac:dyDescent="0.5">
      <c r="A670" s="1" t="s">
        <v>509</v>
      </c>
      <c r="B670" s="1">
        <v>0.67</v>
      </c>
      <c r="C670" s="1">
        <v>778</v>
      </c>
    </row>
    <row r="671" spans="1:3" x14ac:dyDescent="0.5">
      <c r="A671" s="1" t="s">
        <v>254</v>
      </c>
      <c r="B671" s="1">
        <v>0.01</v>
      </c>
      <c r="C671" s="1">
        <v>11</v>
      </c>
    </row>
    <row r="672" spans="1:3" x14ac:dyDescent="0.5">
      <c r="A672" s="1" t="s">
        <v>784</v>
      </c>
      <c r="B672" s="1">
        <v>6999.9600000000055</v>
      </c>
      <c r="C672" s="1">
        <v>9488376</v>
      </c>
    </row>
  </sheetData>
  <conditionalFormatting sqref="B3">
    <cfRule type="dataBar" priority="1">
      <dataBar>
        <cfvo type="min"/>
        <cfvo type="max"/>
        <color rgb="FFFF555A"/>
      </dataBar>
      <extLst>
        <ext xmlns:x14="http://schemas.microsoft.com/office/spreadsheetml/2009/9/main" uri="{B025F937-C7B1-47D3-B67F-A62EFF666E3E}">
          <x14:id>{6F4166EC-C8E5-45D3-9053-FAFDB93C82B2}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6F4166EC-C8E5-45D3-9053-FAFDB93C82B2}">
            <x14:dataBar minLength="0" maxLength="100" border="1" negativeBarBorderColorSameAsPositive="0">
              <x14:cfvo type="autoMin"/>
              <x14:cfvo type="autoMax"/>
              <x14:borderColor rgb="FFFF555A"/>
              <x14:negativeFillColor rgb="FFFF0000"/>
              <x14:negativeBorderColor rgb="FFFF0000"/>
              <x14:axisColor rgb="FF000000"/>
            </x14:dataBar>
          </x14:cfRule>
          <xm:sqref>B3</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774F4-5C76-46D5-A1E2-261DD433A284}">
  <dimension ref="A1:D672"/>
  <sheetViews>
    <sheetView zoomScale="92" workbookViewId="0">
      <selection activeCell="G17" sqref="G17"/>
    </sheetView>
  </sheetViews>
  <sheetFormatPr defaultRowHeight="18" x14ac:dyDescent="0.5"/>
  <cols>
    <col min="1" max="1" width="46.33203125" bestFit="1" customWidth="1"/>
    <col min="2" max="2" width="12.33203125" bestFit="1" customWidth="1"/>
    <col min="3" max="3" width="13.6640625" bestFit="1" customWidth="1"/>
    <col min="4" max="4" width="12.88671875" bestFit="1" customWidth="1"/>
  </cols>
  <sheetData>
    <row r="1" spans="1:4" x14ac:dyDescent="0.5">
      <c r="A1" s="6" t="s">
        <v>2</v>
      </c>
      <c r="B1" s="1" t="s">
        <v>783</v>
      </c>
    </row>
    <row r="3" spans="1:4" x14ac:dyDescent="0.5">
      <c r="A3" s="11" t="s">
        <v>789</v>
      </c>
      <c r="B3" s="11" t="s">
        <v>790</v>
      </c>
      <c r="C3" s="11" t="s">
        <v>791</v>
      </c>
      <c r="D3" s="11" t="s">
        <v>786</v>
      </c>
    </row>
    <row r="4" spans="1:4" x14ac:dyDescent="0.5">
      <c r="A4" s="1" t="s">
        <v>302</v>
      </c>
      <c r="B4" s="1">
        <v>45835</v>
      </c>
      <c r="C4" s="1">
        <v>107</v>
      </c>
      <c r="D4" s="1">
        <v>45942</v>
      </c>
    </row>
    <row r="5" spans="1:4" x14ac:dyDescent="0.5">
      <c r="A5" s="1" t="s">
        <v>85</v>
      </c>
      <c r="B5" s="1">
        <v>61011</v>
      </c>
      <c r="C5" s="1">
        <v>181</v>
      </c>
      <c r="D5" s="1">
        <v>61192</v>
      </c>
    </row>
    <row r="6" spans="1:4" x14ac:dyDescent="0.5">
      <c r="A6" s="1" t="s">
        <v>214</v>
      </c>
      <c r="B6" s="1">
        <v>233</v>
      </c>
      <c r="C6" s="1">
        <v>1</v>
      </c>
      <c r="D6" s="1">
        <v>234</v>
      </c>
    </row>
    <row r="7" spans="1:4" x14ac:dyDescent="0.5">
      <c r="A7" s="1" t="s">
        <v>248</v>
      </c>
      <c r="B7" s="1">
        <v>58041</v>
      </c>
      <c r="C7" s="1">
        <v>79</v>
      </c>
      <c r="D7" s="1">
        <v>58120</v>
      </c>
    </row>
    <row r="8" spans="1:4" x14ac:dyDescent="0.5">
      <c r="A8" s="1" t="s">
        <v>715</v>
      </c>
      <c r="B8" s="1">
        <v>16524</v>
      </c>
      <c r="C8" s="1">
        <v>27</v>
      </c>
      <c r="D8" s="1">
        <v>16551</v>
      </c>
    </row>
    <row r="9" spans="1:4" x14ac:dyDescent="0.5">
      <c r="A9" s="1" t="s">
        <v>65</v>
      </c>
      <c r="B9" s="1">
        <v>343</v>
      </c>
      <c r="C9" s="1">
        <v>1</v>
      </c>
      <c r="D9" s="1">
        <v>344</v>
      </c>
    </row>
    <row r="10" spans="1:4" x14ac:dyDescent="0.5">
      <c r="A10" s="1" t="s">
        <v>497</v>
      </c>
      <c r="B10" s="1">
        <v>25</v>
      </c>
      <c r="C10" s="1">
        <v>0</v>
      </c>
      <c r="D10" s="1">
        <v>25</v>
      </c>
    </row>
    <row r="11" spans="1:4" x14ac:dyDescent="0.5">
      <c r="A11" s="1" t="s">
        <v>637</v>
      </c>
      <c r="B11" s="1">
        <v>65560</v>
      </c>
      <c r="C11" s="1">
        <v>298</v>
      </c>
      <c r="D11" s="1">
        <v>65858</v>
      </c>
    </row>
    <row r="12" spans="1:4" x14ac:dyDescent="0.5">
      <c r="A12" s="1" t="s">
        <v>179</v>
      </c>
      <c r="B12" s="1">
        <v>209</v>
      </c>
      <c r="C12" s="1">
        <v>0</v>
      </c>
      <c r="D12" s="1">
        <v>209</v>
      </c>
    </row>
    <row r="13" spans="1:4" x14ac:dyDescent="0.5">
      <c r="A13" s="1" t="s">
        <v>480</v>
      </c>
      <c r="B13" s="1">
        <v>26918</v>
      </c>
      <c r="C13" s="1">
        <v>101</v>
      </c>
      <c r="D13" s="1">
        <v>27019</v>
      </c>
    </row>
    <row r="14" spans="1:4" x14ac:dyDescent="0.5">
      <c r="A14" s="1" t="s">
        <v>28</v>
      </c>
      <c r="B14" s="1">
        <v>530</v>
      </c>
      <c r="C14" s="1">
        <v>1</v>
      </c>
      <c r="D14" s="1">
        <v>531</v>
      </c>
    </row>
    <row r="15" spans="1:4" x14ac:dyDescent="0.5">
      <c r="A15" s="1" t="s">
        <v>263</v>
      </c>
      <c r="B15" s="1">
        <v>224</v>
      </c>
      <c r="C15" s="1">
        <v>0</v>
      </c>
      <c r="D15" s="1">
        <v>224</v>
      </c>
    </row>
    <row r="16" spans="1:4" x14ac:dyDescent="0.5">
      <c r="A16" s="1" t="s">
        <v>372</v>
      </c>
      <c r="B16" s="1">
        <v>6723</v>
      </c>
      <c r="C16" s="1">
        <v>50</v>
      </c>
      <c r="D16" s="1">
        <v>6773</v>
      </c>
    </row>
    <row r="17" spans="1:4" x14ac:dyDescent="0.5">
      <c r="A17" s="1" t="s">
        <v>754</v>
      </c>
      <c r="B17" s="1">
        <v>67511</v>
      </c>
      <c r="C17" s="1">
        <v>126</v>
      </c>
      <c r="D17" s="1">
        <v>67637</v>
      </c>
    </row>
    <row r="18" spans="1:4" x14ac:dyDescent="0.5">
      <c r="A18" s="1" t="s">
        <v>732</v>
      </c>
      <c r="B18" s="1">
        <v>44</v>
      </c>
      <c r="C18" s="1">
        <v>2</v>
      </c>
      <c r="D18" s="1">
        <v>46</v>
      </c>
    </row>
    <row r="19" spans="1:4" x14ac:dyDescent="0.5">
      <c r="A19" s="1" t="s">
        <v>139</v>
      </c>
      <c r="B19" s="1">
        <v>208</v>
      </c>
      <c r="C19" s="1">
        <v>0</v>
      </c>
      <c r="D19" s="1">
        <v>208</v>
      </c>
    </row>
    <row r="20" spans="1:4" x14ac:dyDescent="0.5">
      <c r="A20" s="1" t="s">
        <v>693</v>
      </c>
      <c r="B20" s="1">
        <v>276</v>
      </c>
      <c r="C20" s="1">
        <v>1</v>
      </c>
      <c r="D20" s="1">
        <v>277</v>
      </c>
    </row>
    <row r="21" spans="1:4" x14ac:dyDescent="0.5">
      <c r="A21" s="1" t="s">
        <v>109</v>
      </c>
      <c r="B21" s="1">
        <v>104</v>
      </c>
      <c r="C21" s="1">
        <v>0</v>
      </c>
      <c r="D21" s="1">
        <v>104</v>
      </c>
    </row>
    <row r="22" spans="1:4" x14ac:dyDescent="0.5">
      <c r="A22" s="1" t="s">
        <v>727</v>
      </c>
      <c r="B22" s="1">
        <v>79706</v>
      </c>
      <c r="C22" s="1">
        <v>281</v>
      </c>
      <c r="D22" s="1">
        <v>79987</v>
      </c>
    </row>
    <row r="23" spans="1:4" x14ac:dyDescent="0.5">
      <c r="A23" s="1" t="s">
        <v>779</v>
      </c>
      <c r="B23" s="1">
        <v>1002</v>
      </c>
      <c r="C23" s="1">
        <v>4</v>
      </c>
      <c r="D23" s="1">
        <v>1006</v>
      </c>
    </row>
    <row r="24" spans="1:4" x14ac:dyDescent="0.5">
      <c r="A24" s="1" t="s">
        <v>84</v>
      </c>
      <c r="B24" s="1">
        <v>45937</v>
      </c>
      <c r="C24" s="1">
        <v>92</v>
      </c>
      <c r="D24" s="1">
        <v>46029</v>
      </c>
    </row>
    <row r="25" spans="1:4" x14ac:dyDescent="0.5">
      <c r="A25" s="1" t="s">
        <v>703</v>
      </c>
      <c r="B25" s="1">
        <v>48</v>
      </c>
      <c r="C25" s="1">
        <v>0</v>
      </c>
      <c r="D25" s="1">
        <v>48</v>
      </c>
    </row>
    <row r="26" spans="1:4" x14ac:dyDescent="0.5">
      <c r="A26" s="1" t="s">
        <v>216</v>
      </c>
      <c r="B26" s="1">
        <v>38608</v>
      </c>
      <c r="C26" s="1">
        <v>85</v>
      </c>
      <c r="D26" s="1">
        <v>38693</v>
      </c>
    </row>
    <row r="27" spans="1:4" x14ac:dyDescent="0.5">
      <c r="A27" s="1" t="s">
        <v>621</v>
      </c>
      <c r="B27" s="1">
        <v>7173</v>
      </c>
      <c r="C27" s="1">
        <v>57</v>
      </c>
      <c r="D27" s="1">
        <v>7230</v>
      </c>
    </row>
    <row r="28" spans="1:4" x14ac:dyDescent="0.5">
      <c r="A28" s="1" t="s">
        <v>753</v>
      </c>
      <c r="B28" s="1">
        <v>11732</v>
      </c>
      <c r="C28" s="1">
        <v>31</v>
      </c>
      <c r="D28" s="1">
        <v>11763</v>
      </c>
    </row>
    <row r="29" spans="1:4" x14ac:dyDescent="0.5">
      <c r="A29" s="1" t="s">
        <v>559</v>
      </c>
      <c r="B29" s="1">
        <v>4367</v>
      </c>
      <c r="C29" s="1">
        <v>25</v>
      </c>
      <c r="D29" s="1">
        <v>4392</v>
      </c>
    </row>
    <row r="30" spans="1:4" x14ac:dyDescent="0.5">
      <c r="A30" s="1" t="s">
        <v>343</v>
      </c>
      <c r="B30" s="1">
        <v>182</v>
      </c>
      <c r="C30" s="1">
        <v>1</v>
      </c>
      <c r="D30" s="1">
        <v>183</v>
      </c>
    </row>
    <row r="31" spans="1:4" x14ac:dyDescent="0.5">
      <c r="A31" s="1" t="s">
        <v>359</v>
      </c>
      <c r="B31" s="1">
        <v>286</v>
      </c>
      <c r="C31" s="1">
        <v>0</v>
      </c>
      <c r="D31" s="1">
        <v>286</v>
      </c>
    </row>
    <row r="32" spans="1:4" x14ac:dyDescent="0.5">
      <c r="A32" s="1" t="s">
        <v>596</v>
      </c>
      <c r="B32" s="1">
        <v>88751</v>
      </c>
      <c r="C32" s="1">
        <v>192</v>
      </c>
      <c r="D32" s="1">
        <v>88943</v>
      </c>
    </row>
    <row r="33" spans="1:4" x14ac:dyDescent="0.5">
      <c r="A33" s="1" t="s">
        <v>253</v>
      </c>
      <c r="B33" s="1">
        <v>93</v>
      </c>
      <c r="C33" s="1">
        <v>0</v>
      </c>
      <c r="D33" s="1">
        <v>93</v>
      </c>
    </row>
    <row r="34" spans="1:4" x14ac:dyDescent="0.5">
      <c r="A34" s="1" t="s">
        <v>666</v>
      </c>
      <c r="B34" s="1">
        <v>544</v>
      </c>
      <c r="C34" s="1">
        <v>8</v>
      </c>
      <c r="D34" s="1">
        <v>552</v>
      </c>
    </row>
    <row r="35" spans="1:4" x14ac:dyDescent="0.5">
      <c r="A35" s="1" t="s">
        <v>614</v>
      </c>
      <c r="B35" s="1">
        <v>6115</v>
      </c>
      <c r="C35" s="1">
        <v>32</v>
      </c>
      <c r="D35" s="1">
        <v>6147</v>
      </c>
    </row>
    <row r="36" spans="1:4" x14ac:dyDescent="0.5">
      <c r="A36" s="1" t="s">
        <v>624</v>
      </c>
      <c r="B36" s="1">
        <v>94</v>
      </c>
      <c r="C36" s="1">
        <v>6</v>
      </c>
      <c r="D36" s="1">
        <v>100</v>
      </c>
    </row>
    <row r="37" spans="1:4" x14ac:dyDescent="0.5">
      <c r="A37" s="1" t="s">
        <v>705</v>
      </c>
      <c r="B37" s="1">
        <v>42</v>
      </c>
      <c r="C37" s="1">
        <v>1</v>
      </c>
      <c r="D37" s="1">
        <v>43</v>
      </c>
    </row>
    <row r="38" spans="1:4" x14ac:dyDescent="0.5">
      <c r="A38" s="1" t="s">
        <v>180</v>
      </c>
      <c r="B38" s="1">
        <v>91</v>
      </c>
      <c r="C38" s="1">
        <v>1</v>
      </c>
      <c r="D38" s="1">
        <v>92</v>
      </c>
    </row>
    <row r="39" spans="1:4" x14ac:dyDescent="0.5">
      <c r="A39" s="1" t="s">
        <v>572</v>
      </c>
      <c r="B39" s="1">
        <v>1604</v>
      </c>
      <c r="C39" s="1">
        <v>2</v>
      </c>
      <c r="D39" s="1">
        <v>1606</v>
      </c>
    </row>
    <row r="40" spans="1:4" x14ac:dyDescent="0.5">
      <c r="A40" s="1" t="s">
        <v>418</v>
      </c>
      <c r="B40" s="1">
        <v>113</v>
      </c>
      <c r="C40" s="1">
        <v>0</v>
      </c>
      <c r="D40" s="1">
        <v>113</v>
      </c>
    </row>
    <row r="41" spans="1:4" x14ac:dyDescent="0.5">
      <c r="A41" s="1" t="s">
        <v>131</v>
      </c>
      <c r="B41" s="1">
        <v>112</v>
      </c>
      <c r="C41" s="1">
        <v>3</v>
      </c>
      <c r="D41" s="1">
        <v>115</v>
      </c>
    </row>
    <row r="42" spans="1:4" x14ac:dyDescent="0.5">
      <c r="A42" s="1" t="s">
        <v>226</v>
      </c>
      <c r="B42" s="1">
        <v>10022</v>
      </c>
      <c r="C42" s="1">
        <v>35</v>
      </c>
      <c r="D42" s="1">
        <v>10057</v>
      </c>
    </row>
    <row r="43" spans="1:4" x14ac:dyDescent="0.5">
      <c r="A43" s="1" t="s">
        <v>135</v>
      </c>
      <c r="B43" s="1">
        <v>105660</v>
      </c>
      <c r="C43" s="1">
        <v>120</v>
      </c>
      <c r="D43" s="1">
        <v>105780</v>
      </c>
    </row>
    <row r="44" spans="1:4" x14ac:dyDescent="0.5">
      <c r="A44" s="1" t="s">
        <v>26</v>
      </c>
      <c r="B44" s="1">
        <v>866</v>
      </c>
      <c r="C44" s="1">
        <v>3</v>
      </c>
      <c r="D44" s="1">
        <v>869</v>
      </c>
    </row>
    <row r="45" spans="1:4" x14ac:dyDescent="0.5">
      <c r="A45" s="1" t="s">
        <v>473</v>
      </c>
      <c r="B45" s="1">
        <v>17225</v>
      </c>
      <c r="C45" s="1">
        <v>99</v>
      </c>
      <c r="D45" s="1">
        <v>17324</v>
      </c>
    </row>
    <row r="46" spans="1:4" x14ac:dyDescent="0.5">
      <c r="A46" s="1" t="s">
        <v>493</v>
      </c>
      <c r="B46" s="1">
        <v>42965</v>
      </c>
      <c r="C46" s="1">
        <v>295</v>
      </c>
      <c r="D46" s="1">
        <v>43260</v>
      </c>
    </row>
    <row r="47" spans="1:4" x14ac:dyDescent="0.5">
      <c r="A47" s="1" t="s">
        <v>714</v>
      </c>
      <c r="B47" s="1">
        <v>36353</v>
      </c>
      <c r="C47" s="1">
        <v>179</v>
      </c>
      <c r="D47" s="1">
        <v>36532</v>
      </c>
    </row>
    <row r="48" spans="1:4" x14ac:dyDescent="0.5">
      <c r="A48" s="1" t="s">
        <v>13</v>
      </c>
      <c r="B48" s="1">
        <v>328</v>
      </c>
      <c r="C48" s="1">
        <v>0</v>
      </c>
      <c r="D48" s="1">
        <v>328</v>
      </c>
    </row>
    <row r="49" spans="1:4" x14ac:dyDescent="0.5">
      <c r="A49" s="1" t="s">
        <v>734</v>
      </c>
      <c r="B49" s="1">
        <v>56758</v>
      </c>
      <c r="C49" s="1">
        <v>440</v>
      </c>
      <c r="D49" s="1">
        <v>57198</v>
      </c>
    </row>
    <row r="50" spans="1:4" x14ac:dyDescent="0.5">
      <c r="A50" s="1" t="s">
        <v>731</v>
      </c>
      <c r="B50" s="1">
        <v>56</v>
      </c>
      <c r="C50" s="1">
        <v>0</v>
      </c>
      <c r="D50" s="1">
        <v>56</v>
      </c>
    </row>
    <row r="51" spans="1:4" x14ac:dyDescent="0.5">
      <c r="A51" s="1" t="s">
        <v>641</v>
      </c>
      <c r="B51" s="1">
        <v>45</v>
      </c>
      <c r="C51" s="1">
        <v>0</v>
      </c>
      <c r="D51" s="1">
        <v>45</v>
      </c>
    </row>
    <row r="52" spans="1:4" x14ac:dyDescent="0.5">
      <c r="A52" s="1" t="s">
        <v>462</v>
      </c>
      <c r="B52" s="1">
        <v>55</v>
      </c>
      <c r="C52" s="1">
        <v>0</v>
      </c>
      <c r="D52" s="1">
        <v>55</v>
      </c>
    </row>
    <row r="53" spans="1:4" x14ac:dyDescent="0.5">
      <c r="A53" s="1" t="s">
        <v>230</v>
      </c>
      <c r="B53" s="1">
        <v>123</v>
      </c>
      <c r="C53" s="1">
        <v>0</v>
      </c>
      <c r="D53" s="1">
        <v>123</v>
      </c>
    </row>
    <row r="54" spans="1:4" x14ac:dyDescent="0.5">
      <c r="A54" s="1" t="s">
        <v>615</v>
      </c>
      <c r="B54" s="1">
        <v>57692</v>
      </c>
      <c r="C54" s="1">
        <v>133</v>
      </c>
      <c r="D54" s="1">
        <v>57825</v>
      </c>
    </row>
    <row r="55" spans="1:4" x14ac:dyDescent="0.5">
      <c r="A55" s="1" t="s">
        <v>463</v>
      </c>
      <c r="B55" s="1">
        <v>72</v>
      </c>
      <c r="C55" s="1">
        <v>0</v>
      </c>
      <c r="D55" s="1">
        <v>72</v>
      </c>
    </row>
    <row r="56" spans="1:4" x14ac:dyDescent="0.5">
      <c r="A56" s="1" t="s">
        <v>653</v>
      </c>
      <c r="B56" s="1">
        <v>48</v>
      </c>
      <c r="C56" s="1">
        <v>0</v>
      </c>
      <c r="D56" s="1">
        <v>48</v>
      </c>
    </row>
    <row r="57" spans="1:4" x14ac:dyDescent="0.5">
      <c r="A57" s="1" t="s">
        <v>376</v>
      </c>
      <c r="B57" s="1">
        <v>131</v>
      </c>
      <c r="C57" s="1">
        <v>0</v>
      </c>
      <c r="D57" s="1">
        <v>131</v>
      </c>
    </row>
    <row r="58" spans="1:4" x14ac:dyDescent="0.5">
      <c r="A58" s="1" t="s">
        <v>597</v>
      </c>
      <c r="B58" s="1">
        <v>12638</v>
      </c>
      <c r="C58" s="1">
        <v>101</v>
      </c>
      <c r="D58" s="1">
        <v>12739</v>
      </c>
    </row>
    <row r="59" spans="1:4" x14ac:dyDescent="0.5">
      <c r="A59" s="1" t="s">
        <v>582</v>
      </c>
      <c r="B59" s="1">
        <v>3135</v>
      </c>
      <c r="C59" s="1">
        <v>10</v>
      </c>
      <c r="D59" s="1">
        <v>3145</v>
      </c>
    </row>
    <row r="60" spans="1:4" x14ac:dyDescent="0.5">
      <c r="A60" s="1" t="s">
        <v>538</v>
      </c>
      <c r="B60" s="1">
        <v>302</v>
      </c>
      <c r="C60" s="1">
        <v>0</v>
      </c>
      <c r="D60" s="1">
        <v>302</v>
      </c>
    </row>
    <row r="61" spans="1:4" x14ac:dyDescent="0.5">
      <c r="A61" s="1" t="s">
        <v>95</v>
      </c>
      <c r="B61" s="1">
        <v>158</v>
      </c>
      <c r="C61" s="1">
        <v>0</v>
      </c>
      <c r="D61" s="1">
        <v>158</v>
      </c>
    </row>
    <row r="62" spans="1:4" x14ac:dyDescent="0.5">
      <c r="A62" s="1" t="s">
        <v>446</v>
      </c>
      <c r="B62" s="1">
        <v>21</v>
      </c>
      <c r="C62" s="1">
        <v>0</v>
      </c>
      <c r="D62" s="1">
        <v>21</v>
      </c>
    </row>
    <row r="63" spans="1:4" x14ac:dyDescent="0.5">
      <c r="A63" s="1" t="s">
        <v>8</v>
      </c>
      <c r="B63" s="1">
        <v>6724</v>
      </c>
      <c r="C63" s="1">
        <v>58</v>
      </c>
      <c r="D63" s="1">
        <v>6782</v>
      </c>
    </row>
    <row r="64" spans="1:4" x14ac:dyDescent="0.5">
      <c r="A64" s="1" t="s">
        <v>442</v>
      </c>
      <c r="B64" s="1">
        <v>25865</v>
      </c>
      <c r="C64" s="1">
        <v>134</v>
      </c>
      <c r="D64" s="1">
        <v>25999</v>
      </c>
    </row>
    <row r="65" spans="1:4" x14ac:dyDescent="0.5">
      <c r="A65" s="1" t="s">
        <v>747</v>
      </c>
      <c r="B65" s="1">
        <v>3049</v>
      </c>
      <c r="C65" s="1">
        <v>37</v>
      </c>
      <c r="D65" s="1">
        <v>3086</v>
      </c>
    </row>
    <row r="66" spans="1:4" x14ac:dyDescent="0.5">
      <c r="A66" s="1" t="s">
        <v>391</v>
      </c>
      <c r="B66" s="1">
        <v>345</v>
      </c>
      <c r="C66" s="1">
        <v>0</v>
      </c>
      <c r="D66" s="1">
        <v>345</v>
      </c>
    </row>
    <row r="67" spans="1:4" x14ac:dyDescent="0.5">
      <c r="A67" s="1" t="s">
        <v>673</v>
      </c>
      <c r="B67" s="1">
        <v>56665</v>
      </c>
      <c r="C67" s="1">
        <v>193</v>
      </c>
      <c r="D67" s="1">
        <v>56858</v>
      </c>
    </row>
    <row r="68" spans="1:4" x14ac:dyDescent="0.5">
      <c r="A68" s="1" t="s">
        <v>756</v>
      </c>
      <c r="B68" s="1">
        <v>236</v>
      </c>
      <c r="C68" s="1">
        <v>0</v>
      </c>
      <c r="D68" s="1">
        <v>236</v>
      </c>
    </row>
    <row r="69" spans="1:4" x14ac:dyDescent="0.5">
      <c r="A69" s="1" t="s">
        <v>625</v>
      </c>
      <c r="B69" s="1">
        <v>188</v>
      </c>
      <c r="C69" s="1">
        <v>0</v>
      </c>
      <c r="D69" s="1">
        <v>188</v>
      </c>
    </row>
    <row r="70" spans="1:4" x14ac:dyDescent="0.5">
      <c r="A70" s="1" t="s">
        <v>231</v>
      </c>
      <c r="B70" s="1">
        <v>184</v>
      </c>
      <c r="C70" s="1">
        <v>0</v>
      </c>
      <c r="D70" s="1">
        <v>184</v>
      </c>
    </row>
    <row r="71" spans="1:4" x14ac:dyDescent="0.5">
      <c r="A71" s="1" t="s">
        <v>700</v>
      </c>
      <c r="B71" s="1">
        <v>158</v>
      </c>
      <c r="C71" s="1">
        <v>0</v>
      </c>
      <c r="D71" s="1">
        <v>158</v>
      </c>
    </row>
    <row r="72" spans="1:4" x14ac:dyDescent="0.5">
      <c r="A72" s="1" t="s">
        <v>327</v>
      </c>
      <c r="B72" s="1">
        <v>68620</v>
      </c>
      <c r="C72" s="1">
        <v>423</v>
      </c>
      <c r="D72" s="1">
        <v>69043</v>
      </c>
    </row>
    <row r="73" spans="1:4" x14ac:dyDescent="0.5">
      <c r="A73" s="1" t="s">
        <v>765</v>
      </c>
      <c r="B73" s="1">
        <v>456</v>
      </c>
      <c r="C73" s="1">
        <v>1</v>
      </c>
      <c r="D73" s="1">
        <v>457</v>
      </c>
    </row>
    <row r="74" spans="1:4" x14ac:dyDescent="0.5">
      <c r="A74" s="1" t="s">
        <v>434</v>
      </c>
      <c r="B74" s="1">
        <v>149</v>
      </c>
      <c r="C74" s="1">
        <v>0</v>
      </c>
      <c r="D74" s="1">
        <v>149</v>
      </c>
    </row>
    <row r="75" spans="1:4" x14ac:dyDescent="0.5">
      <c r="A75" s="1" t="s">
        <v>478</v>
      </c>
      <c r="B75" s="1">
        <v>170</v>
      </c>
      <c r="C75" s="1">
        <v>1</v>
      </c>
      <c r="D75" s="1">
        <v>171</v>
      </c>
    </row>
    <row r="76" spans="1:4" x14ac:dyDescent="0.5">
      <c r="A76" s="1" t="s">
        <v>217</v>
      </c>
      <c r="B76" s="1">
        <v>51848</v>
      </c>
      <c r="C76" s="1">
        <v>260</v>
      </c>
      <c r="D76" s="1">
        <v>52108</v>
      </c>
    </row>
    <row r="77" spans="1:4" x14ac:dyDescent="0.5">
      <c r="A77" s="1" t="s">
        <v>102</v>
      </c>
      <c r="B77" s="1">
        <v>213</v>
      </c>
      <c r="C77" s="1">
        <v>0</v>
      </c>
      <c r="D77" s="1">
        <v>213</v>
      </c>
    </row>
    <row r="78" spans="1:4" x14ac:dyDescent="0.5">
      <c r="A78" s="1" t="s">
        <v>385</v>
      </c>
      <c r="B78" s="1">
        <v>172</v>
      </c>
      <c r="C78" s="1">
        <v>0</v>
      </c>
      <c r="D78" s="1">
        <v>172</v>
      </c>
    </row>
    <row r="79" spans="1:4" x14ac:dyDescent="0.5">
      <c r="A79" s="1" t="s">
        <v>278</v>
      </c>
      <c r="B79" s="1">
        <v>2515</v>
      </c>
      <c r="C79" s="1">
        <v>47</v>
      </c>
      <c r="D79" s="1">
        <v>2562</v>
      </c>
    </row>
    <row r="80" spans="1:4" x14ac:dyDescent="0.5">
      <c r="A80" s="1" t="s">
        <v>321</v>
      </c>
      <c r="B80" s="1">
        <v>296</v>
      </c>
      <c r="C80" s="1">
        <v>5</v>
      </c>
      <c r="D80" s="1">
        <v>301</v>
      </c>
    </row>
    <row r="81" spans="1:4" x14ac:dyDescent="0.5">
      <c r="A81" s="1" t="s">
        <v>686</v>
      </c>
      <c r="B81" s="1">
        <v>87</v>
      </c>
      <c r="C81" s="1">
        <v>0</v>
      </c>
      <c r="D81" s="1">
        <v>87</v>
      </c>
    </row>
    <row r="82" spans="1:4" x14ac:dyDescent="0.5">
      <c r="A82" s="1" t="s">
        <v>249</v>
      </c>
      <c r="B82" s="1">
        <v>10274</v>
      </c>
      <c r="C82" s="1">
        <v>21</v>
      </c>
      <c r="D82" s="1">
        <v>10295</v>
      </c>
    </row>
    <row r="83" spans="1:4" x14ac:dyDescent="0.5">
      <c r="A83" s="1" t="s">
        <v>526</v>
      </c>
      <c r="B83" s="1">
        <v>2569</v>
      </c>
      <c r="C83" s="1">
        <v>12</v>
      </c>
      <c r="D83" s="1">
        <v>2581</v>
      </c>
    </row>
    <row r="84" spans="1:4" x14ac:dyDescent="0.5">
      <c r="A84" s="1" t="s">
        <v>560</v>
      </c>
      <c r="B84" s="1">
        <v>52058</v>
      </c>
      <c r="C84" s="1">
        <v>96</v>
      </c>
      <c r="D84" s="1">
        <v>52154</v>
      </c>
    </row>
    <row r="85" spans="1:4" x14ac:dyDescent="0.5">
      <c r="A85" s="1" t="s">
        <v>746</v>
      </c>
      <c r="B85" s="1">
        <v>335</v>
      </c>
      <c r="C85" s="1">
        <v>4</v>
      </c>
      <c r="D85" s="1">
        <v>339</v>
      </c>
    </row>
    <row r="86" spans="1:4" x14ac:dyDescent="0.5">
      <c r="A86" s="1" t="s">
        <v>629</v>
      </c>
      <c r="B86" s="1">
        <v>45856</v>
      </c>
      <c r="C86" s="1">
        <v>132</v>
      </c>
      <c r="D86" s="1">
        <v>45988</v>
      </c>
    </row>
    <row r="87" spans="1:4" x14ac:dyDescent="0.5">
      <c r="A87" s="1" t="s">
        <v>279</v>
      </c>
      <c r="B87" s="1">
        <v>848</v>
      </c>
      <c r="C87" s="1">
        <v>3</v>
      </c>
      <c r="D87" s="1">
        <v>851</v>
      </c>
    </row>
    <row r="88" spans="1:4" x14ac:dyDescent="0.5">
      <c r="A88" s="1" t="s">
        <v>220</v>
      </c>
      <c r="B88" s="1">
        <v>33</v>
      </c>
      <c r="C88" s="1">
        <v>0</v>
      </c>
      <c r="D88" s="1">
        <v>33</v>
      </c>
    </row>
    <row r="89" spans="1:4" x14ac:dyDescent="0.5">
      <c r="A89" s="1" t="s">
        <v>104</v>
      </c>
      <c r="B89" s="1">
        <v>114</v>
      </c>
      <c r="C89" s="1">
        <v>0</v>
      </c>
      <c r="D89" s="1">
        <v>114</v>
      </c>
    </row>
    <row r="90" spans="1:4" x14ac:dyDescent="0.5">
      <c r="A90" s="1" t="s">
        <v>80</v>
      </c>
      <c r="B90" s="1">
        <v>64</v>
      </c>
      <c r="C90" s="1">
        <v>0</v>
      </c>
      <c r="D90" s="1">
        <v>64</v>
      </c>
    </row>
    <row r="91" spans="1:4" x14ac:dyDescent="0.5">
      <c r="A91" s="1" t="s">
        <v>638</v>
      </c>
      <c r="B91" s="1">
        <v>54148</v>
      </c>
      <c r="C91" s="1">
        <v>168</v>
      </c>
      <c r="D91" s="1">
        <v>54316</v>
      </c>
    </row>
    <row r="92" spans="1:4" x14ac:dyDescent="0.5">
      <c r="A92" s="1" t="s">
        <v>117</v>
      </c>
      <c r="B92" s="1">
        <v>302</v>
      </c>
      <c r="C92" s="1">
        <v>2</v>
      </c>
      <c r="D92" s="1">
        <v>304</v>
      </c>
    </row>
    <row r="93" spans="1:4" x14ac:dyDescent="0.5">
      <c r="A93" s="1" t="s">
        <v>153</v>
      </c>
      <c r="B93" s="1">
        <v>221</v>
      </c>
      <c r="C93" s="1">
        <v>1</v>
      </c>
      <c r="D93" s="1">
        <v>222</v>
      </c>
    </row>
    <row r="94" spans="1:4" x14ac:dyDescent="0.5">
      <c r="A94" s="1" t="s">
        <v>532</v>
      </c>
      <c r="B94" s="1">
        <v>943</v>
      </c>
      <c r="C94" s="1">
        <v>4</v>
      </c>
      <c r="D94" s="1">
        <v>947</v>
      </c>
    </row>
    <row r="95" spans="1:4" x14ac:dyDescent="0.5">
      <c r="A95" s="1" t="s">
        <v>137</v>
      </c>
      <c r="B95" s="1">
        <v>83749</v>
      </c>
      <c r="C95" s="1">
        <v>160</v>
      </c>
      <c r="D95" s="1">
        <v>83909</v>
      </c>
    </row>
    <row r="96" spans="1:4" x14ac:dyDescent="0.5">
      <c r="A96" s="1" t="s">
        <v>514</v>
      </c>
      <c r="B96" s="1">
        <v>9685</v>
      </c>
      <c r="C96" s="1">
        <v>46</v>
      </c>
      <c r="D96" s="1">
        <v>9731</v>
      </c>
    </row>
    <row r="97" spans="1:4" x14ac:dyDescent="0.5">
      <c r="A97" s="1" t="s">
        <v>184</v>
      </c>
      <c r="B97" s="1">
        <v>38487</v>
      </c>
      <c r="C97" s="1">
        <v>118</v>
      </c>
      <c r="D97" s="1">
        <v>38605</v>
      </c>
    </row>
    <row r="98" spans="1:4" x14ac:dyDescent="0.5">
      <c r="A98" s="1" t="s">
        <v>256</v>
      </c>
      <c r="B98" s="1">
        <v>35</v>
      </c>
      <c r="C98" s="1">
        <v>0</v>
      </c>
      <c r="D98" s="1">
        <v>35</v>
      </c>
    </row>
    <row r="99" spans="1:4" x14ac:dyDescent="0.5">
      <c r="A99" s="1" t="s">
        <v>406</v>
      </c>
      <c r="B99" s="1">
        <v>88</v>
      </c>
      <c r="C99" s="1">
        <v>5</v>
      </c>
      <c r="D99" s="1">
        <v>93</v>
      </c>
    </row>
    <row r="100" spans="1:4" x14ac:dyDescent="0.5">
      <c r="A100" s="1" t="s">
        <v>489</v>
      </c>
      <c r="B100" s="1">
        <v>144</v>
      </c>
      <c r="C100" s="1">
        <v>0</v>
      </c>
      <c r="D100" s="1">
        <v>144</v>
      </c>
    </row>
    <row r="101" spans="1:4" x14ac:dyDescent="0.5">
      <c r="A101" s="1" t="s">
        <v>466</v>
      </c>
      <c r="B101" s="1">
        <v>11</v>
      </c>
      <c r="C101" s="1">
        <v>0</v>
      </c>
      <c r="D101" s="1">
        <v>11</v>
      </c>
    </row>
    <row r="102" spans="1:4" x14ac:dyDescent="0.5">
      <c r="A102" s="1" t="s">
        <v>664</v>
      </c>
      <c r="B102" s="1">
        <v>217</v>
      </c>
      <c r="C102" s="1">
        <v>0</v>
      </c>
      <c r="D102" s="1">
        <v>217</v>
      </c>
    </row>
    <row r="103" spans="1:4" x14ac:dyDescent="0.5">
      <c r="A103" s="1" t="s">
        <v>729</v>
      </c>
      <c r="B103" s="1">
        <v>4859</v>
      </c>
      <c r="C103" s="1">
        <v>24</v>
      </c>
      <c r="D103" s="1">
        <v>4883</v>
      </c>
    </row>
    <row r="104" spans="1:4" x14ac:dyDescent="0.5">
      <c r="A104" s="1" t="s">
        <v>737</v>
      </c>
      <c r="B104" s="1">
        <v>93</v>
      </c>
      <c r="C104" s="1">
        <v>0</v>
      </c>
      <c r="D104" s="1">
        <v>93</v>
      </c>
    </row>
    <row r="105" spans="1:4" x14ac:dyDescent="0.5">
      <c r="A105" s="1" t="s">
        <v>431</v>
      </c>
      <c r="B105" s="1">
        <v>20073</v>
      </c>
      <c r="C105" s="1">
        <v>89</v>
      </c>
      <c r="D105" s="1">
        <v>20162</v>
      </c>
    </row>
    <row r="106" spans="1:4" x14ac:dyDescent="0.5">
      <c r="A106" s="1" t="s">
        <v>475</v>
      </c>
      <c r="B106" s="1">
        <v>119</v>
      </c>
      <c r="C106" s="1">
        <v>0</v>
      </c>
      <c r="D106" s="1">
        <v>119</v>
      </c>
    </row>
    <row r="107" spans="1:4" x14ac:dyDescent="0.5">
      <c r="A107" s="1" t="s">
        <v>56</v>
      </c>
      <c r="B107" s="1">
        <v>49</v>
      </c>
      <c r="C107" s="1">
        <v>1</v>
      </c>
      <c r="D107" s="1">
        <v>50</v>
      </c>
    </row>
    <row r="108" spans="1:4" x14ac:dyDescent="0.5">
      <c r="A108" s="1" t="s">
        <v>312</v>
      </c>
      <c r="B108" s="1">
        <v>566</v>
      </c>
      <c r="C108" s="1">
        <v>3</v>
      </c>
      <c r="D108" s="1">
        <v>569</v>
      </c>
    </row>
    <row r="109" spans="1:4" x14ac:dyDescent="0.5">
      <c r="A109" s="1" t="s">
        <v>750</v>
      </c>
      <c r="B109" s="1">
        <v>145</v>
      </c>
      <c r="C109" s="1">
        <v>0</v>
      </c>
      <c r="D109" s="1">
        <v>145</v>
      </c>
    </row>
    <row r="110" spans="1:4" x14ac:dyDescent="0.5">
      <c r="A110" s="1" t="s">
        <v>517</v>
      </c>
      <c r="B110" s="1">
        <v>74029</v>
      </c>
      <c r="C110" s="1">
        <v>201</v>
      </c>
      <c r="D110" s="1">
        <v>74230</v>
      </c>
    </row>
    <row r="111" spans="1:4" x14ac:dyDescent="0.5">
      <c r="A111" s="1" t="s">
        <v>516</v>
      </c>
      <c r="B111" s="1">
        <v>739</v>
      </c>
      <c r="C111" s="1">
        <v>11</v>
      </c>
      <c r="D111" s="1">
        <v>750</v>
      </c>
    </row>
    <row r="112" spans="1:4" x14ac:dyDescent="0.5">
      <c r="A112" s="1" t="s">
        <v>589</v>
      </c>
      <c r="B112" s="1">
        <v>107</v>
      </c>
      <c r="C112" s="1">
        <v>0</v>
      </c>
      <c r="D112" s="1">
        <v>107</v>
      </c>
    </row>
    <row r="113" spans="1:4" x14ac:dyDescent="0.5">
      <c r="A113" s="1" t="s">
        <v>17</v>
      </c>
      <c r="B113" s="1">
        <v>242</v>
      </c>
      <c r="C113" s="1">
        <v>0</v>
      </c>
      <c r="D113" s="1">
        <v>242</v>
      </c>
    </row>
    <row r="114" spans="1:4" x14ac:dyDescent="0.5">
      <c r="A114" s="1" t="s">
        <v>239</v>
      </c>
      <c r="B114" s="1">
        <v>100</v>
      </c>
      <c r="C114" s="1">
        <v>0</v>
      </c>
      <c r="D114" s="1">
        <v>100</v>
      </c>
    </row>
    <row r="115" spans="1:4" x14ac:dyDescent="0.5">
      <c r="A115" s="1" t="s">
        <v>578</v>
      </c>
      <c r="B115" s="1">
        <v>86</v>
      </c>
      <c r="C115" s="1">
        <v>0</v>
      </c>
      <c r="D115" s="1">
        <v>86</v>
      </c>
    </row>
    <row r="116" spans="1:4" x14ac:dyDescent="0.5">
      <c r="A116" s="1" t="s">
        <v>333</v>
      </c>
      <c r="B116" s="1">
        <v>69</v>
      </c>
      <c r="C116" s="1">
        <v>1</v>
      </c>
      <c r="D116" s="1">
        <v>70</v>
      </c>
    </row>
    <row r="117" spans="1:4" x14ac:dyDescent="0.5">
      <c r="A117" s="1" t="s">
        <v>542</v>
      </c>
      <c r="B117" s="1">
        <v>53980</v>
      </c>
      <c r="C117" s="1">
        <v>69</v>
      </c>
      <c r="D117" s="1">
        <v>54049</v>
      </c>
    </row>
    <row r="118" spans="1:4" x14ac:dyDescent="0.5">
      <c r="A118" s="1" t="s">
        <v>224</v>
      </c>
      <c r="B118" s="1">
        <v>119</v>
      </c>
      <c r="C118" s="1">
        <v>0</v>
      </c>
      <c r="D118" s="1">
        <v>119</v>
      </c>
    </row>
    <row r="119" spans="1:4" x14ac:dyDescent="0.5">
      <c r="A119" s="1" t="s">
        <v>694</v>
      </c>
      <c r="B119" s="1">
        <v>149</v>
      </c>
      <c r="C119" s="1">
        <v>0</v>
      </c>
      <c r="D119" s="1">
        <v>149</v>
      </c>
    </row>
    <row r="120" spans="1:4" x14ac:dyDescent="0.5">
      <c r="A120" s="1" t="s">
        <v>485</v>
      </c>
      <c r="B120" s="1">
        <v>237</v>
      </c>
      <c r="C120" s="1">
        <v>1</v>
      </c>
      <c r="D120" s="1">
        <v>238</v>
      </c>
    </row>
    <row r="121" spans="1:4" x14ac:dyDescent="0.5">
      <c r="A121" s="1" t="s">
        <v>716</v>
      </c>
      <c r="B121" s="1">
        <v>78866</v>
      </c>
      <c r="C121" s="1">
        <v>143</v>
      </c>
      <c r="D121" s="1">
        <v>79009</v>
      </c>
    </row>
    <row r="122" spans="1:4" x14ac:dyDescent="0.5">
      <c r="A122" s="1" t="s">
        <v>219</v>
      </c>
      <c r="B122" s="1">
        <v>372</v>
      </c>
      <c r="C122" s="1">
        <v>0</v>
      </c>
      <c r="D122" s="1">
        <v>372</v>
      </c>
    </row>
    <row r="123" spans="1:4" x14ac:dyDescent="0.5">
      <c r="A123" s="1" t="s">
        <v>411</v>
      </c>
      <c r="B123" s="1">
        <v>9334</v>
      </c>
      <c r="C123" s="1">
        <v>75</v>
      </c>
      <c r="D123" s="1">
        <v>9409</v>
      </c>
    </row>
    <row r="124" spans="1:4" x14ac:dyDescent="0.5">
      <c r="A124" s="1" t="s">
        <v>646</v>
      </c>
      <c r="B124" s="1">
        <v>41</v>
      </c>
      <c r="C124" s="1">
        <v>0</v>
      </c>
      <c r="D124" s="1">
        <v>41</v>
      </c>
    </row>
    <row r="125" spans="1:4" x14ac:dyDescent="0.5">
      <c r="A125" s="1" t="s">
        <v>540</v>
      </c>
      <c r="B125" s="1">
        <v>255</v>
      </c>
      <c r="C125" s="1">
        <v>6</v>
      </c>
      <c r="D125" s="1">
        <v>261</v>
      </c>
    </row>
    <row r="126" spans="1:4" x14ac:dyDescent="0.5">
      <c r="A126" s="1" t="s">
        <v>523</v>
      </c>
      <c r="B126" s="1">
        <v>164</v>
      </c>
      <c r="C126" s="1">
        <v>3</v>
      </c>
      <c r="D126" s="1">
        <v>167</v>
      </c>
    </row>
    <row r="127" spans="1:4" x14ac:dyDescent="0.5">
      <c r="A127" s="1" t="s">
        <v>633</v>
      </c>
      <c r="B127" s="1">
        <v>55</v>
      </c>
      <c r="C127" s="1">
        <v>2</v>
      </c>
      <c r="D127" s="1">
        <v>57</v>
      </c>
    </row>
    <row r="128" spans="1:4" x14ac:dyDescent="0.5">
      <c r="A128" s="1" t="s">
        <v>54</v>
      </c>
      <c r="B128" s="1">
        <v>113</v>
      </c>
      <c r="C128" s="1">
        <v>0</v>
      </c>
      <c r="D128" s="1">
        <v>113</v>
      </c>
    </row>
    <row r="129" spans="1:4" x14ac:dyDescent="0.5">
      <c r="A129" s="1" t="s">
        <v>564</v>
      </c>
      <c r="B129" s="1">
        <v>173</v>
      </c>
      <c r="C129" s="1">
        <v>1</v>
      </c>
      <c r="D129" s="1">
        <v>174</v>
      </c>
    </row>
    <row r="130" spans="1:4" x14ac:dyDescent="0.5">
      <c r="A130" s="1" t="s">
        <v>157</v>
      </c>
      <c r="B130" s="1">
        <v>726</v>
      </c>
      <c r="C130" s="1">
        <v>10</v>
      </c>
      <c r="D130" s="1">
        <v>736</v>
      </c>
    </row>
    <row r="131" spans="1:4" x14ac:dyDescent="0.5">
      <c r="A131" s="1" t="s">
        <v>648</v>
      </c>
      <c r="B131" s="1">
        <v>107</v>
      </c>
      <c r="C131" s="1">
        <v>0</v>
      </c>
      <c r="D131" s="1">
        <v>107</v>
      </c>
    </row>
    <row r="132" spans="1:4" x14ac:dyDescent="0.5">
      <c r="A132" s="1" t="s">
        <v>595</v>
      </c>
      <c r="B132" s="1">
        <v>219</v>
      </c>
      <c r="C132" s="1">
        <v>0</v>
      </c>
      <c r="D132" s="1">
        <v>219</v>
      </c>
    </row>
    <row r="133" spans="1:4" x14ac:dyDescent="0.5">
      <c r="A133" s="1" t="s">
        <v>657</v>
      </c>
      <c r="B133" s="1">
        <v>46955</v>
      </c>
      <c r="C133" s="1">
        <v>144</v>
      </c>
      <c r="D133" s="1">
        <v>47099</v>
      </c>
    </row>
    <row r="134" spans="1:4" x14ac:dyDescent="0.5">
      <c r="A134" s="1" t="s">
        <v>529</v>
      </c>
      <c r="B134" s="1">
        <v>50124</v>
      </c>
      <c r="C134" s="1">
        <v>85</v>
      </c>
      <c r="D134" s="1">
        <v>50209</v>
      </c>
    </row>
    <row r="135" spans="1:4" x14ac:dyDescent="0.5">
      <c r="A135" s="1" t="s">
        <v>251</v>
      </c>
      <c r="B135" s="1">
        <v>15351</v>
      </c>
      <c r="C135" s="1">
        <v>45</v>
      </c>
      <c r="D135" s="1">
        <v>15396</v>
      </c>
    </row>
    <row r="136" spans="1:4" x14ac:dyDescent="0.5">
      <c r="A136" s="1" t="s">
        <v>210</v>
      </c>
      <c r="B136" s="1">
        <v>190</v>
      </c>
      <c r="C136" s="1">
        <v>0</v>
      </c>
      <c r="D136" s="1">
        <v>190</v>
      </c>
    </row>
    <row r="137" spans="1:4" x14ac:dyDescent="0.5">
      <c r="A137" s="1" t="s">
        <v>97</v>
      </c>
      <c r="B137" s="1">
        <v>235</v>
      </c>
      <c r="C137" s="1">
        <v>0</v>
      </c>
      <c r="D137" s="1">
        <v>235</v>
      </c>
    </row>
    <row r="138" spans="1:4" x14ac:dyDescent="0.5">
      <c r="A138" s="1" t="s">
        <v>86</v>
      </c>
      <c r="B138" s="1">
        <v>40980</v>
      </c>
      <c r="C138" s="1">
        <v>91</v>
      </c>
      <c r="D138" s="1">
        <v>41071</v>
      </c>
    </row>
    <row r="139" spans="1:4" x14ac:dyDescent="0.5">
      <c r="A139" s="1" t="s">
        <v>767</v>
      </c>
      <c r="B139" s="1">
        <v>1876</v>
      </c>
      <c r="C139" s="1">
        <v>11</v>
      </c>
      <c r="D139" s="1">
        <v>1887</v>
      </c>
    </row>
    <row r="140" spans="1:4" x14ac:dyDescent="0.5">
      <c r="A140" s="1" t="s">
        <v>531</v>
      </c>
      <c r="B140" s="1">
        <v>536</v>
      </c>
      <c r="C140" s="1">
        <v>2</v>
      </c>
      <c r="D140" s="1">
        <v>538</v>
      </c>
    </row>
    <row r="141" spans="1:4" x14ac:dyDescent="0.5">
      <c r="A141" s="1" t="s">
        <v>760</v>
      </c>
      <c r="B141" s="1">
        <v>391</v>
      </c>
      <c r="C141" s="1">
        <v>0</v>
      </c>
      <c r="D141" s="1">
        <v>391</v>
      </c>
    </row>
    <row r="142" spans="1:4" x14ac:dyDescent="0.5">
      <c r="A142" s="1" t="s">
        <v>303</v>
      </c>
      <c r="B142" s="1">
        <v>3171</v>
      </c>
      <c r="C142" s="1">
        <v>27</v>
      </c>
      <c r="D142" s="1">
        <v>3198</v>
      </c>
    </row>
    <row r="143" spans="1:4" x14ac:dyDescent="0.5">
      <c r="A143" s="1" t="s">
        <v>169</v>
      </c>
      <c r="B143" s="1">
        <v>55659</v>
      </c>
      <c r="C143" s="1">
        <v>93</v>
      </c>
      <c r="D143" s="1">
        <v>55752</v>
      </c>
    </row>
    <row r="144" spans="1:4" x14ac:dyDescent="0.5">
      <c r="A144" s="1" t="s">
        <v>335</v>
      </c>
      <c r="B144" s="1">
        <v>61</v>
      </c>
      <c r="C144" s="1">
        <v>0</v>
      </c>
      <c r="D144" s="1">
        <v>61</v>
      </c>
    </row>
    <row r="145" spans="1:4" x14ac:dyDescent="0.5">
      <c r="A145" s="1" t="s">
        <v>121</v>
      </c>
      <c r="B145" s="1">
        <v>10241</v>
      </c>
      <c r="C145" s="1">
        <v>49</v>
      </c>
      <c r="D145" s="1">
        <v>10290</v>
      </c>
    </row>
    <row r="146" spans="1:4" x14ac:dyDescent="0.5">
      <c r="A146" s="1" t="s">
        <v>300</v>
      </c>
      <c r="B146" s="1">
        <v>206</v>
      </c>
      <c r="C146" s="1">
        <v>0</v>
      </c>
      <c r="D146" s="1">
        <v>206</v>
      </c>
    </row>
    <row r="147" spans="1:4" x14ac:dyDescent="0.5">
      <c r="A147" s="1" t="s">
        <v>749</v>
      </c>
      <c r="B147" s="1">
        <v>193</v>
      </c>
      <c r="C147" s="1">
        <v>2</v>
      </c>
      <c r="D147" s="1">
        <v>195</v>
      </c>
    </row>
    <row r="148" spans="1:4" x14ac:dyDescent="0.5">
      <c r="A148" s="1" t="s">
        <v>524</v>
      </c>
      <c r="B148" s="1">
        <v>268</v>
      </c>
      <c r="C148" s="1">
        <v>1</v>
      </c>
      <c r="D148" s="1">
        <v>269</v>
      </c>
    </row>
    <row r="149" spans="1:4" x14ac:dyDescent="0.5">
      <c r="A149" s="1" t="s">
        <v>681</v>
      </c>
      <c r="B149" s="1">
        <v>586</v>
      </c>
      <c r="C149" s="1">
        <v>10</v>
      </c>
      <c r="D149" s="1">
        <v>596</v>
      </c>
    </row>
    <row r="150" spans="1:4" x14ac:dyDescent="0.5">
      <c r="A150" s="1" t="s">
        <v>116</v>
      </c>
      <c r="B150" s="1">
        <v>216</v>
      </c>
      <c r="C150" s="1">
        <v>0</v>
      </c>
      <c r="D150" s="1">
        <v>216</v>
      </c>
    </row>
    <row r="151" spans="1:4" x14ac:dyDescent="0.5">
      <c r="A151" s="1" t="s">
        <v>32</v>
      </c>
      <c r="B151" s="1">
        <v>224</v>
      </c>
      <c r="C151" s="1">
        <v>0</v>
      </c>
      <c r="D151" s="1">
        <v>224</v>
      </c>
    </row>
    <row r="152" spans="1:4" x14ac:dyDescent="0.5">
      <c r="A152" s="1" t="s">
        <v>636</v>
      </c>
      <c r="B152" s="1">
        <v>114</v>
      </c>
      <c r="C152" s="1">
        <v>3</v>
      </c>
      <c r="D152" s="1">
        <v>117</v>
      </c>
    </row>
    <row r="153" spans="1:4" x14ac:dyDescent="0.5">
      <c r="A153" s="1" t="s">
        <v>687</v>
      </c>
      <c r="B153" s="1">
        <v>52</v>
      </c>
      <c r="C153" s="1">
        <v>0</v>
      </c>
      <c r="D153" s="1">
        <v>52</v>
      </c>
    </row>
    <row r="154" spans="1:4" x14ac:dyDescent="0.5">
      <c r="A154" s="1" t="s">
        <v>426</v>
      </c>
      <c r="B154" s="1">
        <v>325</v>
      </c>
      <c r="C154" s="1">
        <v>1</v>
      </c>
      <c r="D154" s="1">
        <v>326</v>
      </c>
    </row>
    <row r="155" spans="1:4" x14ac:dyDescent="0.5">
      <c r="A155" s="1" t="s">
        <v>168</v>
      </c>
      <c r="B155" s="1">
        <v>373</v>
      </c>
      <c r="C155" s="1">
        <v>0</v>
      </c>
      <c r="D155" s="1">
        <v>373</v>
      </c>
    </row>
    <row r="156" spans="1:4" x14ac:dyDescent="0.5">
      <c r="A156" s="1" t="s">
        <v>370</v>
      </c>
      <c r="B156" s="1">
        <v>204</v>
      </c>
      <c r="C156" s="1">
        <v>2</v>
      </c>
      <c r="D156" s="1">
        <v>206</v>
      </c>
    </row>
    <row r="157" spans="1:4" x14ac:dyDescent="0.5">
      <c r="A157" s="1" t="s">
        <v>544</v>
      </c>
      <c r="B157" s="1">
        <v>53658</v>
      </c>
      <c r="C157" s="1">
        <v>47</v>
      </c>
      <c r="D157" s="1">
        <v>53705</v>
      </c>
    </row>
    <row r="158" spans="1:4" x14ac:dyDescent="0.5">
      <c r="A158" s="1" t="s">
        <v>521</v>
      </c>
      <c r="B158" s="1">
        <v>293</v>
      </c>
      <c r="C158" s="1">
        <v>0</v>
      </c>
      <c r="D158" s="1">
        <v>293</v>
      </c>
    </row>
    <row r="159" spans="1:4" x14ac:dyDescent="0.5">
      <c r="A159" s="1" t="s">
        <v>665</v>
      </c>
      <c r="B159" s="1">
        <v>75623</v>
      </c>
      <c r="C159" s="1">
        <v>299</v>
      </c>
      <c r="D159" s="1">
        <v>75922</v>
      </c>
    </row>
    <row r="160" spans="1:4" x14ac:dyDescent="0.5">
      <c r="A160" s="1" t="s">
        <v>464</v>
      </c>
      <c r="B160" s="1">
        <v>31</v>
      </c>
      <c r="C160" s="1">
        <v>0</v>
      </c>
      <c r="D160" s="1">
        <v>31</v>
      </c>
    </row>
    <row r="161" spans="1:4" x14ac:dyDescent="0.5">
      <c r="A161" s="1" t="s">
        <v>534</v>
      </c>
      <c r="B161" s="1">
        <v>46122</v>
      </c>
      <c r="C161" s="1">
        <v>163</v>
      </c>
      <c r="D161" s="1">
        <v>46285</v>
      </c>
    </row>
    <row r="162" spans="1:4" x14ac:dyDescent="0.5">
      <c r="A162" s="1" t="s">
        <v>491</v>
      </c>
      <c r="B162" s="1">
        <v>162</v>
      </c>
      <c r="C162" s="1">
        <v>0</v>
      </c>
      <c r="D162" s="1">
        <v>162</v>
      </c>
    </row>
    <row r="163" spans="1:4" x14ac:dyDescent="0.5">
      <c r="A163" s="1" t="s">
        <v>456</v>
      </c>
      <c r="B163" s="1">
        <v>75</v>
      </c>
      <c r="C163" s="1">
        <v>1</v>
      </c>
      <c r="D163" s="1">
        <v>76</v>
      </c>
    </row>
    <row r="164" spans="1:4" x14ac:dyDescent="0.5">
      <c r="A164" s="1" t="s">
        <v>769</v>
      </c>
      <c r="B164" s="1">
        <v>3908</v>
      </c>
      <c r="C164" s="1">
        <v>13</v>
      </c>
      <c r="D164" s="1">
        <v>3921</v>
      </c>
    </row>
    <row r="165" spans="1:4" x14ac:dyDescent="0.5">
      <c r="A165" s="1" t="s">
        <v>452</v>
      </c>
      <c r="B165" s="1">
        <v>39</v>
      </c>
      <c r="C165" s="1">
        <v>0</v>
      </c>
      <c r="D165" s="1">
        <v>39</v>
      </c>
    </row>
    <row r="166" spans="1:4" x14ac:dyDescent="0.5">
      <c r="A166" s="1" t="s">
        <v>436</v>
      </c>
      <c r="B166" s="1">
        <v>45290</v>
      </c>
      <c r="C166" s="1">
        <v>150</v>
      </c>
      <c r="D166" s="1">
        <v>45440</v>
      </c>
    </row>
    <row r="167" spans="1:4" x14ac:dyDescent="0.5">
      <c r="A167" s="1" t="s">
        <v>268</v>
      </c>
      <c r="B167" s="1">
        <v>44750</v>
      </c>
      <c r="C167" s="1">
        <v>117</v>
      </c>
      <c r="D167" s="1">
        <v>44867</v>
      </c>
    </row>
    <row r="168" spans="1:4" x14ac:dyDescent="0.5">
      <c r="A168" s="1" t="s">
        <v>365</v>
      </c>
      <c r="B168" s="1">
        <v>185</v>
      </c>
      <c r="C168" s="1">
        <v>0</v>
      </c>
      <c r="D168" s="1">
        <v>185</v>
      </c>
    </row>
    <row r="169" spans="1:4" x14ac:dyDescent="0.5">
      <c r="A169" s="1" t="s">
        <v>470</v>
      </c>
      <c r="B169" s="1">
        <v>7324</v>
      </c>
      <c r="C169" s="1">
        <v>26</v>
      </c>
      <c r="D169" s="1">
        <v>7350</v>
      </c>
    </row>
    <row r="170" spans="1:4" x14ac:dyDescent="0.5">
      <c r="A170" s="1" t="s">
        <v>605</v>
      </c>
      <c r="B170" s="1">
        <v>148</v>
      </c>
      <c r="C170" s="1">
        <v>0</v>
      </c>
      <c r="D170" s="1">
        <v>148</v>
      </c>
    </row>
    <row r="171" spans="1:4" x14ac:dyDescent="0.5">
      <c r="A171" s="1" t="s">
        <v>255</v>
      </c>
      <c r="B171" s="1">
        <v>31</v>
      </c>
      <c r="C171" s="1">
        <v>0</v>
      </c>
      <c r="D171" s="1">
        <v>31</v>
      </c>
    </row>
    <row r="172" spans="1:4" x14ac:dyDescent="0.5">
      <c r="A172" s="1" t="s">
        <v>377</v>
      </c>
      <c r="B172" s="1">
        <v>58</v>
      </c>
      <c r="C172" s="1">
        <v>0</v>
      </c>
      <c r="D172" s="1">
        <v>58</v>
      </c>
    </row>
    <row r="173" spans="1:4" x14ac:dyDescent="0.5">
      <c r="A173" s="1" t="s">
        <v>119</v>
      </c>
      <c r="B173" s="1">
        <v>89128</v>
      </c>
      <c r="C173" s="1">
        <v>711</v>
      </c>
      <c r="D173" s="1">
        <v>89839</v>
      </c>
    </row>
    <row r="174" spans="1:4" x14ac:dyDescent="0.5">
      <c r="A174" s="1" t="s">
        <v>506</v>
      </c>
      <c r="B174" s="1">
        <v>48022</v>
      </c>
      <c r="C174" s="1">
        <v>327</v>
      </c>
      <c r="D174" s="1">
        <v>48349</v>
      </c>
    </row>
    <row r="175" spans="1:4" x14ac:dyDescent="0.5">
      <c r="A175" s="1" t="s">
        <v>645</v>
      </c>
      <c r="B175" s="1">
        <v>172</v>
      </c>
      <c r="C175" s="1">
        <v>1</v>
      </c>
      <c r="D175" s="1">
        <v>173</v>
      </c>
    </row>
    <row r="176" spans="1:4" x14ac:dyDescent="0.5">
      <c r="A176" s="1" t="s">
        <v>22</v>
      </c>
      <c r="B176" s="1">
        <v>2193</v>
      </c>
      <c r="C176" s="1">
        <v>21</v>
      </c>
      <c r="D176" s="1">
        <v>2214</v>
      </c>
    </row>
    <row r="177" spans="1:4" x14ac:dyDescent="0.5">
      <c r="A177" s="1" t="s">
        <v>553</v>
      </c>
      <c r="B177" s="1">
        <v>6677</v>
      </c>
      <c r="C177" s="1">
        <v>34</v>
      </c>
      <c r="D177" s="1">
        <v>6711</v>
      </c>
    </row>
    <row r="178" spans="1:4" x14ac:dyDescent="0.5">
      <c r="A178" s="1" t="s">
        <v>728</v>
      </c>
      <c r="B178" s="1">
        <v>54105</v>
      </c>
      <c r="C178" s="1">
        <v>103</v>
      </c>
      <c r="D178" s="1">
        <v>54208</v>
      </c>
    </row>
    <row r="179" spans="1:4" x14ac:dyDescent="0.5">
      <c r="A179" s="1" t="s">
        <v>289</v>
      </c>
      <c r="B179" s="1">
        <v>170</v>
      </c>
      <c r="C179" s="1">
        <v>0</v>
      </c>
      <c r="D179" s="1">
        <v>170</v>
      </c>
    </row>
    <row r="180" spans="1:4" x14ac:dyDescent="0.5">
      <c r="A180" s="1" t="s">
        <v>386</v>
      </c>
      <c r="B180" s="1">
        <v>104</v>
      </c>
      <c r="C180" s="1">
        <v>0</v>
      </c>
      <c r="D180" s="1">
        <v>104</v>
      </c>
    </row>
    <row r="181" spans="1:4" x14ac:dyDescent="0.5">
      <c r="A181" s="1" t="s">
        <v>423</v>
      </c>
      <c r="B181" s="1">
        <v>805</v>
      </c>
      <c r="C181" s="1">
        <v>5</v>
      </c>
      <c r="D181" s="1">
        <v>810</v>
      </c>
    </row>
    <row r="182" spans="1:4" x14ac:dyDescent="0.5">
      <c r="A182" s="1" t="s">
        <v>88</v>
      </c>
      <c r="B182" s="1">
        <v>76</v>
      </c>
      <c r="C182" s="1">
        <v>0</v>
      </c>
      <c r="D182" s="1">
        <v>76</v>
      </c>
    </row>
    <row r="183" spans="1:4" x14ac:dyDescent="0.5">
      <c r="A183" s="1" t="s">
        <v>632</v>
      </c>
      <c r="B183" s="1">
        <v>137</v>
      </c>
      <c r="C183" s="1">
        <v>0</v>
      </c>
      <c r="D183" s="1">
        <v>137</v>
      </c>
    </row>
    <row r="184" spans="1:4" x14ac:dyDescent="0.5">
      <c r="A184" s="1" t="s">
        <v>735</v>
      </c>
      <c r="B184" s="1">
        <v>76031</v>
      </c>
      <c r="C184" s="1">
        <v>161</v>
      </c>
      <c r="D184" s="1">
        <v>76192</v>
      </c>
    </row>
    <row r="185" spans="1:4" x14ac:dyDescent="0.5">
      <c r="A185" s="1" t="s">
        <v>283</v>
      </c>
      <c r="B185" s="1">
        <v>124</v>
      </c>
      <c r="C185" s="1">
        <v>0</v>
      </c>
      <c r="D185" s="1">
        <v>124</v>
      </c>
    </row>
    <row r="186" spans="1:4" x14ac:dyDescent="0.5">
      <c r="A186" s="1" t="s">
        <v>30</v>
      </c>
      <c r="B186" s="1">
        <v>318</v>
      </c>
      <c r="C186" s="1">
        <v>0</v>
      </c>
      <c r="D186" s="1">
        <v>318</v>
      </c>
    </row>
    <row r="187" spans="1:4" x14ac:dyDescent="0.5">
      <c r="A187" s="1" t="s">
        <v>678</v>
      </c>
      <c r="B187" s="1">
        <v>156</v>
      </c>
      <c r="C187" s="1">
        <v>0</v>
      </c>
      <c r="D187" s="1">
        <v>156</v>
      </c>
    </row>
    <row r="188" spans="1:4" x14ac:dyDescent="0.5">
      <c r="A188" s="1" t="s">
        <v>539</v>
      </c>
      <c r="B188" s="1">
        <v>32</v>
      </c>
      <c r="C188" s="1">
        <v>0</v>
      </c>
      <c r="D188" s="1">
        <v>32</v>
      </c>
    </row>
    <row r="189" spans="1:4" x14ac:dyDescent="0.5">
      <c r="A189" s="1" t="s">
        <v>667</v>
      </c>
      <c r="B189" s="1">
        <v>9356</v>
      </c>
      <c r="C189" s="1">
        <v>37</v>
      </c>
      <c r="D189" s="1">
        <v>9393</v>
      </c>
    </row>
    <row r="190" spans="1:4" x14ac:dyDescent="0.5">
      <c r="A190" s="1" t="s">
        <v>660</v>
      </c>
      <c r="B190" s="1">
        <v>161</v>
      </c>
      <c r="C190" s="1">
        <v>0</v>
      </c>
      <c r="D190" s="1">
        <v>161</v>
      </c>
    </row>
    <row r="191" spans="1:4" x14ac:dyDescent="0.5">
      <c r="A191" s="1" t="s">
        <v>777</v>
      </c>
      <c r="B191" s="1">
        <v>491</v>
      </c>
      <c r="C191" s="1">
        <v>0</v>
      </c>
      <c r="D191" s="1">
        <v>491</v>
      </c>
    </row>
    <row r="192" spans="1:4" x14ac:dyDescent="0.5">
      <c r="A192" s="1" t="s">
        <v>468</v>
      </c>
      <c r="B192" s="1">
        <v>9</v>
      </c>
      <c r="C192" s="1">
        <v>0</v>
      </c>
      <c r="D192" s="1">
        <v>9</v>
      </c>
    </row>
    <row r="193" spans="1:4" x14ac:dyDescent="0.5">
      <c r="A193" s="1" t="s">
        <v>613</v>
      </c>
      <c r="B193" s="1">
        <v>180</v>
      </c>
      <c r="C193" s="1">
        <v>0</v>
      </c>
      <c r="D193" s="1">
        <v>180</v>
      </c>
    </row>
    <row r="194" spans="1:4" x14ac:dyDescent="0.5">
      <c r="A194" s="1" t="s">
        <v>267</v>
      </c>
      <c r="B194" s="1">
        <v>77</v>
      </c>
      <c r="C194" s="1">
        <v>0</v>
      </c>
      <c r="D194" s="1">
        <v>77</v>
      </c>
    </row>
    <row r="195" spans="1:4" x14ac:dyDescent="0.5">
      <c r="A195" s="1" t="s">
        <v>171</v>
      </c>
      <c r="B195" s="1">
        <v>3761</v>
      </c>
      <c r="C195" s="1">
        <v>23</v>
      </c>
      <c r="D195" s="1">
        <v>3784</v>
      </c>
    </row>
    <row r="196" spans="1:4" x14ac:dyDescent="0.5">
      <c r="A196" s="1" t="s">
        <v>330</v>
      </c>
      <c r="B196" s="1">
        <v>3305</v>
      </c>
      <c r="C196" s="1">
        <v>40</v>
      </c>
      <c r="D196" s="1">
        <v>3345</v>
      </c>
    </row>
    <row r="197" spans="1:4" x14ac:dyDescent="0.5">
      <c r="A197" s="1" t="s">
        <v>118</v>
      </c>
      <c r="B197" s="1">
        <v>278</v>
      </c>
      <c r="C197" s="1">
        <v>1</v>
      </c>
      <c r="D197" s="1">
        <v>279</v>
      </c>
    </row>
    <row r="198" spans="1:4" x14ac:dyDescent="0.5">
      <c r="A198" s="1" t="s">
        <v>593</v>
      </c>
      <c r="B198" s="1">
        <v>185</v>
      </c>
      <c r="C198" s="1">
        <v>0</v>
      </c>
      <c r="D198" s="1">
        <v>185</v>
      </c>
    </row>
    <row r="199" spans="1:4" x14ac:dyDescent="0.5">
      <c r="A199" s="1" t="s">
        <v>291</v>
      </c>
      <c r="B199" s="1">
        <v>76</v>
      </c>
      <c r="C199" s="1">
        <v>0</v>
      </c>
      <c r="D199" s="1">
        <v>76</v>
      </c>
    </row>
    <row r="200" spans="1:4" x14ac:dyDescent="0.5">
      <c r="A200" s="1" t="s">
        <v>282</v>
      </c>
      <c r="B200" s="1">
        <v>57364</v>
      </c>
      <c r="C200" s="1">
        <v>201</v>
      </c>
      <c r="D200" s="1">
        <v>57565</v>
      </c>
    </row>
    <row r="201" spans="1:4" x14ac:dyDescent="0.5">
      <c r="A201" s="1" t="s">
        <v>262</v>
      </c>
      <c r="B201" s="1">
        <v>13038</v>
      </c>
      <c r="C201" s="1">
        <v>21</v>
      </c>
      <c r="D201" s="1">
        <v>13059</v>
      </c>
    </row>
    <row r="202" spans="1:4" x14ac:dyDescent="0.5">
      <c r="A202" s="1" t="s">
        <v>545</v>
      </c>
      <c r="B202" s="1">
        <v>15840</v>
      </c>
      <c r="C202" s="1">
        <v>23</v>
      </c>
      <c r="D202" s="1">
        <v>15863</v>
      </c>
    </row>
    <row r="203" spans="1:4" x14ac:dyDescent="0.5">
      <c r="A203" s="1" t="s">
        <v>178</v>
      </c>
      <c r="B203" s="1">
        <v>194</v>
      </c>
      <c r="C203" s="1">
        <v>3</v>
      </c>
      <c r="D203" s="1">
        <v>197</v>
      </c>
    </row>
    <row r="204" spans="1:4" x14ac:dyDescent="0.5">
      <c r="A204" s="1" t="s">
        <v>115</v>
      </c>
      <c r="B204" s="1">
        <v>1552</v>
      </c>
      <c r="C204" s="1">
        <v>5</v>
      </c>
      <c r="D204" s="1">
        <v>1557</v>
      </c>
    </row>
    <row r="205" spans="1:4" x14ac:dyDescent="0.5">
      <c r="A205" s="1" t="s">
        <v>209</v>
      </c>
      <c r="B205" s="1">
        <v>1046</v>
      </c>
      <c r="C205" s="1">
        <v>1</v>
      </c>
      <c r="D205" s="1">
        <v>1047</v>
      </c>
    </row>
    <row r="206" spans="1:4" x14ac:dyDescent="0.5">
      <c r="A206" s="1" t="s">
        <v>360</v>
      </c>
      <c r="B206" s="1">
        <v>390</v>
      </c>
      <c r="C206" s="1">
        <v>1</v>
      </c>
      <c r="D206" s="1">
        <v>391</v>
      </c>
    </row>
    <row r="207" spans="1:4" x14ac:dyDescent="0.5">
      <c r="A207" s="1" t="s">
        <v>259</v>
      </c>
      <c r="B207" s="1">
        <v>56932</v>
      </c>
      <c r="C207" s="1">
        <v>72</v>
      </c>
      <c r="D207" s="1">
        <v>57004</v>
      </c>
    </row>
    <row r="208" spans="1:4" x14ac:dyDescent="0.5">
      <c r="A208" s="1" t="s">
        <v>588</v>
      </c>
      <c r="B208" s="1">
        <v>322</v>
      </c>
      <c r="C208" s="1">
        <v>0</v>
      </c>
      <c r="D208" s="1">
        <v>322</v>
      </c>
    </row>
    <row r="209" spans="1:4" x14ac:dyDescent="0.5">
      <c r="A209" s="1" t="s">
        <v>569</v>
      </c>
      <c r="B209" s="1">
        <v>31</v>
      </c>
      <c r="C209" s="1">
        <v>0</v>
      </c>
      <c r="D209" s="1">
        <v>31</v>
      </c>
    </row>
    <row r="210" spans="1:4" x14ac:dyDescent="0.5">
      <c r="A210" s="1" t="s">
        <v>448</v>
      </c>
      <c r="B210" s="1">
        <v>4</v>
      </c>
      <c r="C210" s="1">
        <v>0</v>
      </c>
      <c r="D210" s="1">
        <v>4</v>
      </c>
    </row>
    <row r="211" spans="1:4" x14ac:dyDescent="0.5">
      <c r="A211" s="1" t="s">
        <v>742</v>
      </c>
      <c r="B211" s="1">
        <v>5840</v>
      </c>
      <c r="C211" s="1">
        <v>65</v>
      </c>
      <c r="D211" s="1">
        <v>5905</v>
      </c>
    </row>
    <row r="212" spans="1:4" x14ac:dyDescent="0.5">
      <c r="A212" s="1" t="s">
        <v>519</v>
      </c>
      <c r="B212" s="1">
        <v>180</v>
      </c>
      <c r="C212" s="1">
        <v>1</v>
      </c>
      <c r="D212" s="1">
        <v>181</v>
      </c>
    </row>
    <row r="213" spans="1:4" x14ac:dyDescent="0.5">
      <c r="A213" s="1" t="s">
        <v>722</v>
      </c>
      <c r="B213" s="1">
        <v>22</v>
      </c>
      <c r="C213" s="1">
        <v>0</v>
      </c>
      <c r="D213" s="1">
        <v>22</v>
      </c>
    </row>
    <row r="214" spans="1:4" x14ac:dyDescent="0.5">
      <c r="A214" s="1" t="s">
        <v>642</v>
      </c>
      <c r="B214" s="1">
        <v>32</v>
      </c>
      <c r="C214" s="1">
        <v>0</v>
      </c>
      <c r="D214" s="1">
        <v>32</v>
      </c>
    </row>
    <row r="215" spans="1:4" x14ac:dyDescent="0.5">
      <c r="A215" s="1" t="s">
        <v>293</v>
      </c>
      <c r="B215" s="1">
        <v>17878</v>
      </c>
      <c r="C215" s="1">
        <v>80</v>
      </c>
      <c r="D215" s="1">
        <v>17958</v>
      </c>
    </row>
    <row r="216" spans="1:4" x14ac:dyDescent="0.5">
      <c r="A216" s="1" t="s">
        <v>679</v>
      </c>
      <c r="B216" s="1">
        <v>3834</v>
      </c>
      <c r="C216" s="1">
        <v>28</v>
      </c>
      <c r="D216" s="1">
        <v>3862</v>
      </c>
    </row>
    <row r="217" spans="1:4" x14ac:dyDescent="0.5">
      <c r="A217" s="1" t="s">
        <v>450</v>
      </c>
      <c r="B217" s="1">
        <v>22</v>
      </c>
      <c r="C217" s="1">
        <v>0</v>
      </c>
      <c r="D217" s="1">
        <v>22</v>
      </c>
    </row>
    <row r="218" spans="1:4" x14ac:dyDescent="0.5">
      <c r="A218" s="1" t="s">
        <v>748</v>
      </c>
      <c r="B218" s="1">
        <v>64</v>
      </c>
      <c r="C218" s="1">
        <v>0</v>
      </c>
      <c r="D218" s="1">
        <v>64</v>
      </c>
    </row>
    <row r="219" spans="1:4" x14ac:dyDescent="0.5">
      <c r="A219" s="1" t="s">
        <v>635</v>
      </c>
      <c r="B219" s="1">
        <v>108</v>
      </c>
      <c r="C219" s="1">
        <v>0</v>
      </c>
      <c r="D219" s="1">
        <v>108</v>
      </c>
    </row>
    <row r="220" spans="1:4" x14ac:dyDescent="0.5">
      <c r="A220" s="1" t="s">
        <v>583</v>
      </c>
      <c r="B220" s="1">
        <v>363</v>
      </c>
      <c r="C220" s="1">
        <v>4</v>
      </c>
      <c r="D220" s="1">
        <v>367</v>
      </c>
    </row>
    <row r="221" spans="1:4" x14ac:dyDescent="0.5">
      <c r="A221" s="1" t="s">
        <v>654</v>
      </c>
      <c r="B221" s="1">
        <v>74</v>
      </c>
      <c r="C221" s="1">
        <v>0</v>
      </c>
      <c r="D221" s="1">
        <v>74</v>
      </c>
    </row>
    <row r="222" spans="1:4" x14ac:dyDescent="0.5">
      <c r="A222" s="1" t="s">
        <v>550</v>
      </c>
      <c r="B222" s="1">
        <v>195</v>
      </c>
      <c r="C222" s="1">
        <v>0</v>
      </c>
      <c r="D222" s="1">
        <v>195</v>
      </c>
    </row>
    <row r="223" spans="1:4" x14ac:dyDescent="0.5">
      <c r="A223" s="1" t="s">
        <v>174</v>
      </c>
      <c r="B223" s="1">
        <v>250</v>
      </c>
      <c r="C223" s="1">
        <v>0</v>
      </c>
      <c r="D223" s="1">
        <v>250</v>
      </c>
    </row>
    <row r="224" spans="1:4" x14ac:dyDescent="0.5">
      <c r="A224" s="1" t="s">
        <v>112</v>
      </c>
      <c r="B224" s="1">
        <v>87874</v>
      </c>
      <c r="C224" s="1">
        <v>166</v>
      </c>
      <c r="D224" s="1">
        <v>88040</v>
      </c>
    </row>
    <row r="225" spans="1:4" x14ac:dyDescent="0.5">
      <c r="A225" s="1" t="s">
        <v>147</v>
      </c>
      <c r="B225" s="1">
        <v>8671</v>
      </c>
      <c r="C225" s="1">
        <v>17</v>
      </c>
      <c r="D225" s="1">
        <v>8688</v>
      </c>
    </row>
    <row r="226" spans="1:4" x14ac:dyDescent="0.5">
      <c r="A226" s="1" t="s">
        <v>96</v>
      </c>
      <c r="B226" s="1">
        <v>214</v>
      </c>
      <c r="C226" s="1">
        <v>0</v>
      </c>
      <c r="D226" s="1">
        <v>214</v>
      </c>
    </row>
    <row r="227" spans="1:4" x14ac:dyDescent="0.5">
      <c r="A227" s="1" t="s">
        <v>536</v>
      </c>
      <c r="B227" s="1">
        <v>7129</v>
      </c>
      <c r="C227" s="1">
        <v>43</v>
      </c>
      <c r="D227" s="1">
        <v>7172</v>
      </c>
    </row>
    <row r="228" spans="1:4" x14ac:dyDescent="0.5">
      <c r="A228" s="1" t="s">
        <v>404</v>
      </c>
      <c r="B228" s="1">
        <v>210</v>
      </c>
      <c r="C228" s="1">
        <v>4</v>
      </c>
      <c r="D228" s="1">
        <v>214</v>
      </c>
    </row>
    <row r="229" spans="1:4" x14ac:dyDescent="0.5">
      <c r="A229" s="1" t="s">
        <v>604</v>
      </c>
      <c r="B229" s="1">
        <v>41</v>
      </c>
      <c r="C229" s="1">
        <v>0</v>
      </c>
      <c r="D229" s="1">
        <v>41</v>
      </c>
    </row>
    <row r="230" spans="1:4" x14ac:dyDescent="0.5">
      <c r="A230" s="1" t="s">
        <v>322</v>
      </c>
      <c r="B230" s="1">
        <v>51955</v>
      </c>
      <c r="C230" s="1">
        <v>179</v>
      </c>
      <c r="D230" s="1">
        <v>52134</v>
      </c>
    </row>
    <row r="231" spans="1:4" x14ac:dyDescent="0.5">
      <c r="A231" s="1" t="s">
        <v>120</v>
      </c>
      <c r="B231" s="1">
        <v>79062</v>
      </c>
      <c r="C231" s="1">
        <v>227</v>
      </c>
      <c r="D231" s="1">
        <v>79289</v>
      </c>
    </row>
    <row r="232" spans="1:4" x14ac:dyDescent="0.5">
      <c r="A232" s="1" t="s">
        <v>308</v>
      </c>
      <c r="B232" s="1">
        <v>89</v>
      </c>
      <c r="C232" s="1">
        <v>0</v>
      </c>
      <c r="D232" s="1">
        <v>89</v>
      </c>
    </row>
    <row r="233" spans="1:4" x14ac:dyDescent="0.5">
      <c r="A233" s="1" t="s">
        <v>105</v>
      </c>
      <c r="B233" s="1">
        <v>55</v>
      </c>
      <c r="C233" s="1">
        <v>1</v>
      </c>
      <c r="D233" s="1">
        <v>56</v>
      </c>
    </row>
    <row r="234" spans="1:4" x14ac:dyDescent="0.5">
      <c r="A234" s="1" t="s">
        <v>151</v>
      </c>
      <c r="B234" s="1">
        <v>555</v>
      </c>
      <c r="C234" s="1">
        <v>0</v>
      </c>
      <c r="D234" s="1">
        <v>555</v>
      </c>
    </row>
    <row r="235" spans="1:4" x14ac:dyDescent="0.5">
      <c r="A235" s="1" t="s">
        <v>764</v>
      </c>
      <c r="B235" s="1">
        <v>122</v>
      </c>
      <c r="C235" s="1">
        <v>0</v>
      </c>
      <c r="D235" s="1">
        <v>122</v>
      </c>
    </row>
    <row r="236" spans="1:4" x14ac:dyDescent="0.5">
      <c r="A236" s="1" t="s">
        <v>486</v>
      </c>
      <c r="B236" s="1">
        <v>6734</v>
      </c>
      <c r="C236" s="1">
        <v>36</v>
      </c>
      <c r="D236" s="1">
        <v>6770</v>
      </c>
    </row>
    <row r="237" spans="1:4" x14ac:dyDescent="0.5">
      <c r="A237" s="1" t="s">
        <v>701</v>
      </c>
      <c r="B237" s="1">
        <v>82299</v>
      </c>
      <c r="C237" s="1">
        <v>597</v>
      </c>
      <c r="D237" s="1">
        <v>82896</v>
      </c>
    </row>
    <row r="238" spans="1:4" x14ac:dyDescent="0.5">
      <c r="A238" s="1" t="s">
        <v>680</v>
      </c>
      <c r="B238" s="1">
        <v>57449</v>
      </c>
      <c r="C238" s="1">
        <v>161</v>
      </c>
      <c r="D238" s="1">
        <v>57610</v>
      </c>
    </row>
    <row r="239" spans="1:4" x14ac:dyDescent="0.5">
      <c r="A239" s="1" t="s">
        <v>347</v>
      </c>
      <c r="B239" s="1">
        <v>8397</v>
      </c>
      <c r="C239" s="1">
        <v>68</v>
      </c>
      <c r="D239" s="1">
        <v>8465</v>
      </c>
    </row>
    <row r="240" spans="1:4" x14ac:dyDescent="0.5">
      <c r="A240" s="1" t="s">
        <v>424</v>
      </c>
      <c r="B240" s="1">
        <v>72844</v>
      </c>
      <c r="C240" s="1">
        <v>250</v>
      </c>
      <c r="D240" s="1">
        <v>73094</v>
      </c>
    </row>
    <row r="241" spans="1:4" x14ac:dyDescent="0.5">
      <c r="A241" s="1" t="s">
        <v>371</v>
      </c>
      <c r="B241" s="1">
        <v>196</v>
      </c>
      <c r="C241" s="1">
        <v>0</v>
      </c>
      <c r="D241" s="1">
        <v>196</v>
      </c>
    </row>
    <row r="242" spans="1:4" x14ac:dyDescent="0.5">
      <c r="A242" s="1" t="s">
        <v>200</v>
      </c>
      <c r="B242" s="1">
        <v>76</v>
      </c>
      <c r="C242" s="1">
        <v>0</v>
      </c>
      <c r="D242" s="1">
        <v>76</v>
      </c>
    </row>
    <row r="243" spans="1:4" x14ac:dyDescent="0.5">
      <c r="A243" s="1" t="s">
        <v>136</v>
      </c>
      <c r="B243" s="1">
        <v>2116</v>
      </c>
      <c r="C243" s="1">
        <v>12</v>
      </c>
      <c r="D243" s="1">
        <v>2128</v>
      </c>
    </row>
    <row r="244" spans="1:4" x14ac:dyDescent="0.5">
      <c r="A244" s="1" t="s">
        <v>410</v>
      </c>
      <c r="B244" s="1">
        <v>64587</v>
      </c>
      <c r="C244" s="1">
        <v>364</v>
      </c>
      <c r="D244" s="1">
        <v>64951</v>
      </c>
    </row>
    <row r="245" spans="1:4" x14ac:dyDescent="0.5">
      <c r="A245" s="1" t="s">
        <v>292</v>
      </c>
      <c r="B245" s="1">
        <v>51824</v>
      </c>
      <c r="C245" s="1">
        <v>195</v>
      </c>
      <c r="D245" s="1">
        <v>52019</v>
      </c>
    </row>
    <row r="246" spans="1:4" x14ac:dyDescent="0.5">
      <c r="A246" s="1" t="s">
        <v>241</v>
      </c>
      <c r="B246" s="1">
        <v>246</v>
      </c>
      <c r="C246" s="1">
        <v>0</v>
      </c>
      <c r="D246" s="1">
        <v>246</v>
      </c>
    </row>
    <row r="247" spans="1:4" x14ac:dyDescent="0.5">
      <c r="A247" s="1" t="s">
        <v>674</v>
      </c>
      <c r="B247" s="1">
        <v>3433</v>
      </c>
      <c r="C247" s="1">
        <v>20</v>
      </c>
      <c r="D247" s="1">
        <v>3453</v>
      </c>
    </row>
    <row r="248" spans="1:4" x14ac:dyDescent="0.5">
      <c r="A248" s="1" t="s">
        <v>260</v>
      </c>
      <c r="B248" s="1">
        <v>27119</v>
      </c>
      <c r="C248" s="1">
        <v>62</v>
      </c>
      <c r="D248" s="1">
        <v>27181</v>
      </c>
    </row>
    <row r="249" spans="1:4" x14ac:dyDescent="0.5">
      <c r="A249" s="1" t="s">
        <v>683</v>
      </c>
      <c r="B249" s="1">
        <v>145</v>
      </c>
      <c r="C249" s="1">
        <v>0</v>
      </c>
      <c r="D249" s="1">
        <v>145</v>
      </c>
    </row>
    <row r="250" spans="1:4" x14ac:dyDescent="0.5">
      <c r="A250" s="1" t="s">
        <v>409</v>
      </c>
      <c r="B250" s="1">
        <v>698</v>
      </c>
      <c r="C250" s="1">
        <v>4</v>
      </c>
      <c r="D250" s="1">
        <v>702</v>
      </c>
    </row>
    <row r="251" spans="1:4" x14ac:dyDescent="0.5">
      <c r="A251" s="1" t="s">
        <v>306</v>
      </c>
      <c r="B251" s="1">
        <v>64</v>
      </c>
      <c r="C251" s="1">
        <v>1</v>
      </c>
      <c r="D251" s="1">
        <v>65</v>
      </c>
    </row>
    <row r="252" spans="1:4" x14ac:dyDescent="0.5">
      <c r="A252" s="1" t="s">
        <v>387</v>
      </c>
      <c r="B252" s="1">
        <v>1116</v>
      </c>
      <c r="C252" s="1">
        <v>18</v>
      </c>
      <c r="D252" s="1">
        <v>1134</v>
      </c>
    </row>
    <row r="253" spans="1:4" x14ac:dyDescent="0.5">
      <c r="A253" s="1" t="s">
        <v>163</v>
      </c>
      <c r="B253" s="1">
        <v>162</v>
      </c>
      <c r="C253" s="1">
        <v>0</v>
      </c>
      <c r="D253" s="1">
        <v>162</v>
      </c>
    </row>
    <row r="254" spans="1:4" x14ac:dyDescent="0.5">
      <c r="A254" s="1" t="s">
        <v>602</v>
      </c>
      <c r="B254" s="1">
        <v>126</v>
      </c>
      <c r="C254" s="1">
        <v>0</v>
      </c>
      <c r="D254" s="1">
        <v>126</v>
      </c>
    </row>
    <row r="255" spans="1:4" x14ac:dyDescent="0.5">
      <c r="A255" s="1" t="s">
        <v>218</v>
      </c>
      <c r="B255" s="1">
        <v>3886</v>
      </c>
      <c r="C255" s="1">
        <v>22</v>
      </c>
      <c r="D255" s="1">
        <v>3908</v>
      </c>
    </row>
    <row r="256" spans="1:4" x14ac:dyDescent="0.5">
      <c r="A256" s="1" t="s">
        <v>766</v>
      </c>
      <c r="B256" s="1">
        <v>106963</v>
      </c>
      <c r="C256" s="1">
        <v>404</v>
      </c>
      <c r="D256" s="1">
        <v>107367</v>
      </c>
    </row>
    <row r="257" spans="1:4" x14ac:dyDescent="0.5">
      <c r="A257" s="1" t="s">
        <v>146</v>
      </c>
      <c r="B257" s="1">
        <v>41549</v>
      </c>
      <c r="C257" s="1">
        <v>92</v>
      </c>
      <c r="D257" s="1">
        <v>41641</v>
      </c>
    </row>
    <row r="258" spans="1:4" x14ac:dyDescent="0.5">
      <c r="A258" s="1" t="s">
        <v>149</v>
      </c>
      <c r="B258" s="1">
        <v>151</v>
      </c>
      <c r="C258" s="1">
        <v>0</v>
      </c>
      <c r="D258" s="1">
        <v>151</v>
      </c>
    </row>
    <row r="259" spans="1:4" x14ac:dyDescent="0.5">
      <c r="A259" s="1" t="s">
        <v>307</v>
      </c>
      <c r="B259" s="1">
        <v>225</v>
      </c>
      <c r="C259" s="1">
        <v>0</v>
      </c>
      <c r="D259" s="1">
        <v>225</v>
      </c>
    </row>
    <row r="260" spans="1:4" x14ac:dyDescent="0.5">
      <c r="A260" s="1" t="s">
        <v>193</v>
      </c>
      <c r="B260" s="1">
        <v>56570</v>
      </c>
      <c r="C260" s="1">
        <v>299</v>
      </c>
      <c r="D260" s="1">
        <v>56869</v>
      </c>
    </row>
    <row r="261" spans="1:4" x14ac:dyDescent="0.5">
      <c r="A261" s="1" t="s">
        <v>515</v>
      </c>
      <c r="B261" s="1">
        <v>80128</v>
      </c>
      <c r="C261" s="1">
        <v>341</v>
      </c>
      <c r="D261" s="1">
        <v>80469</v>
      </c>
    </row>
    <row r="262" spans="1:4" x14ac:dyDescent="0.5">
      <c r="A262" s="1" t="s">
        <v>331</v>
      </c>
      <c r="B262" s="1">
        <v>47</v>
      </c>
      <c r="C262" s="1">
        <v>1</v>
      </c>
      <c r="D262" s="1">
        <v>48</v>
      </c>
    </row>
    <row r="263" spans="1:4" x14ac:dyDescent="0.5">
      <c r="A263" s="1" t="s">
        <v>245</v>
      </c>
      <c r="B263" s="1">
        <v>81</v>
      </c>
      <c r="C263" s="1">
        <v>0</v>
      </c>
      <c r="D263" s="1">
        <v>81</v>
      </c>
    </row>
    <row r="264" spans="1:4" x14ac:dyDescent="0.5">
      <c r="A264" s="1" t="s">
        <v>172</v>
      </c>
      <c r="B264" s="1">
        <v>171</v>
      </c>
      <c r="C264" s="1">
        <v>0</v>
      </c>
      <c r="D264" s="1">
        <v>171</v>
      </c>
    </row>
    <row r="265" spans="1:4" x14ac:dyDescent="0.5">
      <c r="A265" s="1" t="s">
        <v>576</v>
      </c>
      <c r="B265" s="1">
        <v>133</v>
      </c>
      <c r="C265" s="1">
        <v>0</v>
      </c>
      <c r="D265" s="1">
        <v>133</v>
      </c>
    </row>
    <row r="266" spans="1:4" x14ac:dyDescent="0.5">
      <c r="A266" s="1" t="s">
        <v>535</v>
      </c>
      <c r="B266" s="1">
        <v>41877</v>
      </c>
      <c r="C266" s="1">
        <v>178</v>
      </c>
      <c r="D266" s="1">
        <v>42055</v>
      </c>
    </row>
    <row r="267" spans="1:4" x14ac:dyDescent="0.5">
      <c r="A267" s="1" t="s">
        <v>346</v>
      </c>
      <c r="B267" s="1">
        <v>2632</v>
      </c>
      <c r="C267" s="1">
        <v>10</v>
      </c>
      <c r="D267" s="1">
        <v>2642</v>
      </c>
    </row>
    <row r="268" spans="1:4" x14ac:dyDescent="0.5">
      <c r="A268" s="1" t="s">
        <v>274</v>
      </c>
      <c r="B268" s="1">
        <v>4610</v>
      </c>
      <c r="C268" s="1">
        <v>44</v>
      </c>
      <c r="D268" s="1">
        <v>4654</v>
      </c>
    </row>
    <row r="269" spans="1:4" x14ac:dyDescent="0.5">
      <c r="A269" s="1" t="s">
        <v>691</v>
      </c>
      <c r="B269" s="1">
        <v>55766</v>
      </c>
      <c r="C269" s="1">
        <v>219</v>
      </c>
      <c r="D269" s="1">
        <v>55985</v>
      </c>
    </row>
    <row r="270" spans="1:4" x14ac:dyDescent="0.5">
      <c r="A270" s="1" t="s">
        <v>622</v>
      </c>
      <c r="B270" s="1">
        <v>61609</v>
      </c>
      <c r="C270" s="1">
        <v>183</v>
      </c>
      <c r="D270" s="1">
        <v>61792</v>
      </c>
    </row>
    <row r="271" spans="1:4" x14ac:dyDescent="0.5">
      <c r="A271" s="1" t="s">
        <v>502</v>
      </c>
      <c r="B271" s="1">
        <v>55</v>
      </c>
      <c r="C271" s="1">
        <v>0</v>
      </c>
      <c r="D271" s="1">
        <v>55</v>
      </c>
    </row>
    <row r="272" spans="1:4" x14ac:dyDescent="0.5">
      <c r="A272" s="1" t="s">
        <v>422</v>
      </c>
      <c r="B272" s="1">
        <v>81589</v>
      </c>
      <c r="C272" s="1">
        <v>457</v>
      </c>
      <c r="D272" s="1">
        <v>82046</v>
      </c>
    </row>
    <row r="273" spans="1:4" x14ac:dyDescent="0.5">
      <c r="A273" s="1" t="s">
        <v>98</v>
      </c>
      <c r="B273" s="1">
        <v>105832</v>
      </c>
      <c r="C273" s="1">
        <v>424</v>
      </c>
      <c r="D273" s="1">
        <v>106256</v>
      </c>
    </row>
    <row r="274" spans="1:4" x14ac:dyDescent="0.5">
      <c r="A274" s="1" t="s">
        <v>644</v>
      </c>
      <c r="B274" s="1">
        <v>44</v>
      </c>
      <c r="C274" s="1">
        <v>2</v>
      </c>
      <c r="D274" s="1">
        <v>46</v>
      </c>
    </row>
    <row r="275" spans="1:4" x14ac:dyDescent="0.5">
      <c r="A275" s="1" t="s">
        <v>744</v>
      </c>
      <c r="B275" s="1">
        <v>2518</v>
      </c>
      <c r="C275" s="1">
        <v>44</v>
      </c>
      <c r="D275" s="1">
        <v>2562</v>
      </c>
    </row>
    <row r="276" spans="1:4" x14ac:dyDescent="0.5">
      <c r="A276" s="1" t="s">
        <v>355</v>
      </c>
      <c r="B276" s="1">
        <v>297</v>
      </c>
      <c r="C276" s="1">
        <v>0</v>
      </c>
      <c r="D276" s="1">
        <v>297</v>
      </c>
    </row>
    <row r="277" spans="1:4" x14ac:dyDescent="0.5">
      <c r="A277" s="1" t="s">
        <v>416</v>
      </c>
      <c r="B277" s="1">
        <v>48</v>
      </c>
      <c r="C277" s="1">
        <v>0</v>
      </c>
      <c r="D277" s="1">
        <v>48</v>
      </c>
    </row>
    <row r="278" spans="1:4" x14ac:dyDescent="0.5">
      <c r="A278" s="1" t="s">
        <v>154</v>
      </c>
      <c r="B278" s="1">
        <v>70</v>
      </c>
      <c r="C278" s="1">
        <v>0</v>
      </c>
      <c r="D278" s="1">
        <v>70</v>
      </c>
    </row>
    <row r="279" spans="1:4" x14ac:dyDescent="0.5">
      <c r="A279" s="1" t="s">
        <v>237</v>
      </c>
      <c r="B279" s="1">
        <v>84</v>
      </c>
      <c r="C279" s="1">
        <v>0</v>
      </c>
      <c r="D279" s="1">
        <v>84</v>
      </c>
    </row>
    <row r="280" spans="1:4" x14ac:dyDescent="0.5">
      <c r="A280" s="1" t="s">
        <v>48</v>
      </c>
      <c r="B280" s="1">
        <v>8313</v>
      </c>
      <c r="C280" s="1">
        <v>48</v>
      </c>
      <c r="D280" s="1">
        <v>8361</v>
      </c>
    </row>
    <row r="281" spans="1:4" x14ac:dyDescent="0.5">
      <c r="A281" s="1" t="s">
        <v>500</v>
      </c>
      <c r="B281" s="1">
        <v>76</v>
      </c>
      <c r="C281" s="1">
        <v>0</v>
      </c>
      <c r="D281" s="1">
        <v>76</v>
      </c>
    </row>
    <row r="282" spans="1:4" x14ac:dyDescent="0.5">
      <c r="A282" s="1" t="s">
        <v>234</v>
      </c>
      <c r="B282" s="1">
        <v>213</v>
      </c>
      <c r="C282" s="1">
        <v>0</v>
      </c>
      <c r="D282" s="1">
        <v>213</v>
      </c>
    </row>
    <row r="283" spans="1:4" x14ac:dyDescent="0.5">
      <c r="A283" s="1" t="s">
        <v>123</v>
      </c>
      <c r="B283" s="1">
        <v>93</v>
      </c>
      <c r="C283" s="1">
        <v>1</v>
      </c>
      <c r="D283" s="1">
        <v>94</v>
      </c>
    </row>
    <row r="284" spans="1:4" x14ac:dyDescent="0.5">
      <c r="A284" s="1" t="s">
        <v>510</v>
      </c>
      <c r="B284" s="1">
        <v>181</v>
      </c>
      <c r="C284" s="1">
        <v>0</v>
      </c>
      <c r="D284" s="1">
        <v>181</v>
      </c>
    </row>
    <row r="285" spans="1:4" x14ac:dyDescent="0.5">
      <c r="A285" s="1" t="s">
        <v>508</v>
      </c>
      <c r="B285" s="1">
        <v>46426</v>
      </c>
      <c r="C285" s="1">
        <v>141</v>
      </c>
      <c r="D285" s="1">
        <v>46567</v>
      </c>
    </row>
    <row r="286" spans="1:4" x14ac:dyDescent="0.5">
      <c r="A286" s="1" t="s">
        <v>551</v>
      </c>
      <c r="B286" s="1">
        <v>136</v>
      </c>
      <c r="C286" s="1">
        <v>0</v>
      </c>
      <c r="D286" s="1">
        <v>136</v>
      </c>
    </row>
    <row r="287" spans="1:4" x14ac:dyDescent="0.5">
      <c r="A287" s="1" t="s">
        <v>164</v>
      </c>
      <c r="B287" s="1">
        <v>152</v>
      </c>
      <c r="C287" s="1">
        <v>0</v>
      </c>
      <c r="D287" s="1">
        <v>152</v>
      </c>
    </row>
    <row r="288" spans="1:4" x14ac:dyDescent="0.5">
      <c r="A288" s="1" t="s">
        <v>211</v>
      </c>
      <c r="B288" s="1">
        <v>64</v>
      </c>
      <c r="C288" s="1">
        <v>0</v>
      </c>
      <c r="D288" s="1">
        <v>64</v>
      </c>
    </row>
    <row r="289" spans="1:4" x14ac:dyDescent="0.5">
      <c r="A289" s="1" t="s">
        <v>284</v>
      </c>
      <c r="B289" s="1">
        <v>35</v>
      </c>
      <c r="C289" s="1">
        <v>0</v>
      </c>
      <c r="D289" s="1">
        <v>35</v>
      </c>
    </row>
    <row r="290" spans="1:4" x14ac:dyDescent="0.5">
      <c r="A290" s="1" t="s">
        <v>482</v>
      </c>
      <c r="B290" s="1">
        <v>149</v>
      </c>
      <c r="C290" s="1">
        <v>1</v>
      </c>
      <c r="D290" s="1">
        <v>150</v>
      </c>
    </row>
    <row r="291" spans="1:4" x14ac:dyDescent="0.5">
      <c r="A291" s="1" t="s">
        <v>349</v>
      </c>
      <c r="B291" s="1">
        <v>122419</v>
      </c>
      <c r="C291" s="1">
        <v>269</v>
      </c>
      <c r="D291" s="1">
        <v>122688</v>
      </c>
    </row>
    <row r="292" spans="1:4" x14ac:dyDescent="0.5">
      <c r="A292" s="1" t="s">
        <v>141</v>
      </c>
      <c r="B292" s="1">
        <v>885</v>
      </c>
      <c r="C292" s="1">
        <v>0</v>
      </c>
      <c r="D292" s="1">
        <v>885</v>
      </c>
    </row>
    <row r="293" spans="1:4" x14ac:dyDescent="0.5">
      <c r="A293" s="1" t="s">
        <v>425</v>
      </c>
      <c r="B293" s="1">
        <v>4655</v>
      </c>
      <c r="C293" s="1">
        <v>42</v>
      </c>
      <c r="D293" s="1">
        <v>4697</v>
      </c>
    </row>
    <row r="294" spans="1:4" x14ac:dyDescent="0.5">
      <c r="A294" s="1" t="s">
        <v>408</v>
      </c>
      <c r="B294" s="1">
        <v>222</v>
      </c>
      <c r="C294" s="1">
        <v>3</v>
      </c>
      <c r="D294" s="1">
        <v>225</v>
      </c>
    </row>
    <row r="295" spans="1:4" x14ac:dyDescent="0.5">
      <c r="A295" s="1" t="s">
        <v>24</v>
      </c>
      <c r="B295" s="1">
        <v>19808</v>
      </c>
      <c r="C295" s="1">
        <v>112</v>
      </c>
      <c r="D295" s="1">
        <v>19920</v>
      </c>
    </row>
    <row r="296" spans="1:4" x14ac:dyDescent="0.5">
      <c r="A296" s="1" t="s">
        <v>363</v>
      </c>
      <c r="B296" s="1">
        <v>983</v>
      </c>
      <c r="C296" s="1">
        <v>8</v>
      </c>
      <c r="D296" s="1">
        <v>991</v>
      </c>
    </row>
    <row r="297" spans="1:4" x14ac:dyDescent="0.5">
      <c r="A297" s="1" t="s">
        <v>598</v>
      </c>
      <c r="B297" s="1">
        <v>65157</v>
      </c>
      <c r="C297" s="1">
        <v>147</v>
      </c>
      <c r="D297" s="1">
        <v>65304</v>
      </c>
    </row>
    <row r="298" spans="1:4" x14ac:dyDescent="0.5">
      <c r="A298" s="1" t="s">
        <v>471</v>
      </c>
      <c r="B298" s="1">
        <v>38081</v>
      </c>
      <c r="C298" s="1">
        <v>103</v>
      </c>
      <c r="D298" s="1">
        <v>38184</v>
      </c>
    </row>
    <row r="299" spans="1:4" x14ac:dyDescent="0.5">
      <c r="A299" s="1" t="s">
        <v>751</v>
      </c>
      <c r="B299" s="1">
        <v>125</v>
      </c>
      <c r="C299" s="1">
        <v>4</v>
      </c>
      <c r="D299" s="1">
        <v>129</v>
      </c>
    </row>
    <row r="300" spans="1:4" x14ac:dyDescent="0.5">
      <c r="A300" s="1" t="s">
        <v>304</v>
      </c>
      <c r="B300" s="1">
        <v>63883</v>
      </c>
      <c r="C300" s="1">
        <v>249</v>
      </c>
      <c r="D300" s="1">
        <v>64132</v>
      </c>
    </row>
    <row r="301" spans="1:4" x14ac:dyDescent="0.5">
      <c r="A301" s="1" t="s">
        <v>689</v>
      </c>
      <c r="B301" s="1">
        <v>855</v>
      </c>
      <c r="C301" s="1">
        <v>12</v>
      </c>
      <c r="D301" s="1">
        <v>867</v>
      </c>
    </row>
    <row r="302" spans="1:4" x14ac:dyDescent="0.5">
      <c r="A302" s="1" t="s">
        <v>407</v>
      </c>
      <c r="B302" s="1">
        <v>248</v>
      </c>
      <c r="C302" s="1">
        <v>1</v>
      </c>
      <c r="D302" s="1">
        <v>249</v>
      </c>
    </row>
    <row r="303" spans="1:4" x14ac:dyDescent="0.5">
      <c r="A303" s="1" t="s">
        <v>227</v>
      </c>
      <c r="B303" s="1">
        <v>49671</v>
      </c>
      <c r="C303" s="1">
        <v>199</v>
      </c>
      <c r="D303" s="1">
        <v>49870</v>
      </c>
    </row>
    <row r="304" spans="1:4" x14ac:dyDescent="0.5">
      <c r="A304" s="1" t="s">
        <v>159</v>
      </c>
      <c r="B304" s="1">
        <v>74950</v>
      </c>
      <c r="C304" s="1">
        <v>322</v>
      </c>
      <c r="D304" s="1">
        <v>75272</v>
      </c>
    </row>
    <row r="305" spans="1:4" x14ac:dyDescent="0.5">
      <c r="A305" s="1" t="s">
        <v>768</v>
      </c>
      <c r="B305" s="1">
        <v>83843</v>
      </c>
      <c r="C305" s="1">
        <v>169</v>
      </c>
      <c r="D305" s="1">
        <v>84012</v>
      </c>
    </row>
    <row r="306" spans="1:4" x14ac:dyDescent="0.5">
      <c r="A306" s="1" t="s">
        <v>427</v>
      </c>
      <c r="B306" s="1">
        <v>220</v>
      </c>
      <c r="C306" s="1">
        <v>1</v>
      </c>
      <c r="D306" s="1">
        <v>221</v>
      </c>
    </row>
    <row r="307" spans="1:4" x14ac:dyDescent="0.5">
      <c r="A307" s="1" t="s">
        <v>318</v>
      </c>
      <c r="B307" s="1">
        <v>98</v>
      </c>
      <c r="C307" s="1">
        <v>0</v>
      </c>
      <c r="D307" s="1">
        <v>98</v>
      </c>
    </row>
    <row r="308" spans="1:4" x14ac:dyDescent="0.5">
      <c r="A308" s="1" t="s">
        <v>265</v>
      </c>
      <c r="B308" s="1">
        <v>38</v>
      </c>
      <c r="C308" s="1">
        <v>0</v>
      </c>
      <c r="D308" s="1">
        <v>38</v>
      </c>
    </row>
    <row r="309" spans="1:4" x14ac:dyDescent="0.5">
      <c r="A309" s="1" t="s">
        <v>600</v>
      </c>
      <c r="B309" s="1">
        <v>259</v>
      </c>
      <c r="C309" s="1">
        <v>0</v>
      </c>
      <c r="D309" s="1">
        <v>259</v>
      </c>
    </row>
    <row r="310" spans="1:4" x14ac:dyDescent="0.5">
      <c r="A310" s="1" t="s">
        <v>15</v>
      </c>
      <c r="B310" s="1">
        <v>278</v>
      </c>
      <c r="C310" s="1">
        <v>0</v>
      </c>
      <c r="D310" s="1">
        <v>278</v>
      </c>
    </row>
    <row r="311" spans="1:4" x14ac:dyDescent="0.5">
      <c r="A311" s="1" t="s">
        <v>337</v>
      </c>
      <c r="B311" s="1">
        <v>80</v>
      </c>
      <c r="C311" s="1">
        <v>0</v>
      </c>
      <c r="D311" s="1">
        <v>80</v>
      </c>
    </row>
    <row r="312" spans="1:4" x14ac:dyDescent="0.5">
      <c r="A312" s="1" t="s">
        <v>738</v>
      </c>
      <c r="B312" s="1">
        <v>201</v>
      </c>
      <c r="C312" s="1">
        <v>0</v>
      </c>
      <c r="D312" s="1">
        <v>201</v>
      </c>
    </row>
    <row r="313" spans="1:4" x14ac:dyDescent="0.5">
      <c r="A313" s="1" t="s">
        <v>73</v>
      </c>
      <c r="B313" s="1">
        <v>18</v>
      </c>
      <c r="C313" s="1">
        <v>0</v>
      </c>
      <c r="D313" s="1">
        <v>18</v>
      </c>
    </row>
    <row r="314" spans="1:4" x14ac:dyDescent="0.5">
      <c r="A314" s="1" t="s">
        <v>235</v>
      </c>
      <c r="B314" s="1">
        <v>247</v>
      </c>
      <c r="C314" s="1">
        <v>0</v>
      </c>
      <c r="D314" s="1">
        <v>247</v>
      </c>
    </row>
    <row r="315" spans="1:4" x14ac:dyDescent="0.5">
      <c r="A315" s="1" t="s">
        <v>492</v>
      </c>
      <c r="B315" s="1">
        <v>192</v>
      </c>
      <c r="C315" s="1">
        <v>0</v>
      </c>
      <c r="D315" s="1">
        <v>192</v>
      </c>
    </row>
    <row r="316" spans="1:4" x14ac:dyDescent="0.5">
      <c r="A316" s="1" t="s">
        <v>379</v>
      </c>
      <c r="B316" s="1">
        <v>76</v>
      </c>
      <c r="C316" s="1">
        <v>0</v>
      </c>
      <c r="D316" s="1">
        <v>76</v>
      </c>
    </row>
    <row r="317" spans="1:4" x14ac:dyDescent="0.5">
      <c r="A317" s="1" t="s">
        <v>258</v>
      </c>
      <c r="B317" s="1">
        <v>31</v>
      </c>
      <c r="C317" s="1">
        <v>0</v>
      </c>
      <c r="D317" s="1">
        <v>31</v>
      </c>
    </row>
    <row r="318" spans="1:4" x14ac:dyDescent="0.5">
      <c r="A318" s="1" t="s">
        <v>741</v>
      </c>
      <c r="B318" s="1">
        <v>124</v>
      </c>
      <c r="C318" s="1">
        <v>0</v>
      </c>
      <c r="D318" s="1">
        <v>124</v>
      </c>
    </row>
    <row r="319" spans="1:4" x14ac:dyDescent="0.5">
      <c r="A319" s="1" t="s">
        <v>257</v>
      </c>
      <c r="B319" s="1">
        <v>60</v>
      </c>
      <c r="C319" s="1">
        <v>0</v>
      </c>
      <c r="D319" s="1">
        <v>60</v>
      </c>
    </row>
    <row r="320" spans="1:4" x14ac:dyDescent="0.5">
      <c r="A320" s="1" t="s">
        <v>246</v>
      </c>
      <c r="B320" s="1">
        <v>45</v>
      </c>
      <c r="C320" s="1">
        <v>0</v>
      </c>
      <c r="D320" s="1">
        <v>45</v>
      </c>
    </row>
    <row r="321" spans="1:4" x14ac:dyDescent="0.5">
      <c r="A321" s="1" t="s">
        <v>316</v>
      </c>
      <c r="B321" s="1">
        <v>83</v>
      </c>
      <c r="C321" s="1">
        <v>0</v>
      </c>
      <c r="D321" s="1">
        <v>83</v>
      </c>
    </row>
    <row r="322" spans="1:4" x14ac:dyDescent="0.5">
      <c r="A322" s="1" t="s">
        <v>755</v>
      </c>
      <c r="B322" s="1">
        <v>84888</v>
      </c>
      <c r="C322" s="1">
        <v>327</v>
      </c>
      <c r="D322" s="1">
        <v>85215</v>
      </c>
    </row>
    <row r="323" spans="1:4" x14ac:dyDescent="0.5">
      <c r="A323" s="1" t="s">
        <v>736</v>
      </c>
      <c r="B323" s="1">
        <v>8777</v>
      </c>
      <c r="C323" s="1">
        <v>20</v>
      </c>
      <c r="D323" s="1">
        <v>8797</v>
      </c>
    </row>
    <row r="324" spans="1:4" x14ac:dyDescent="0.5">
      <c r="A324" s="1" t="s">
        <v>601</v>
      </c>
      <c r="B324" s="1">
        <v>83</v>
      </c>
      <c r="C324" s="1">
        <v>0</v>
      </c>
      <c r="D324" s="1">
        <v>83</v>
      </c>
    </row>
    <row r="325" spans="1:4" x14ac:dyDescent="0.5">
      <c r="A325" s="1" t="s">
        <v>252</v>
      </c>
      <c r="B325" s="1">
        <v>56</v>
      </c>
      <c r="C325" s="1">
        <v>0</v>
      </c>
      <c r="D325" s="1">
        <v>56</v>
      </c>
    </row>
    <row r="326" spans="1:4" x14ac:dyDescent="0.5">
      <c r="A326" s="1" t="s">
        <v>717</v>
      </c>
      <c r="B326" s="1">
        <v>107</v>
      </c>
      <c r="C326" s="1">
        <v>0</v>
      </c>
      <c r="D326" s="1">
        <v>107</v>
      </c>
    </row>
    <row r="327" spans="1:4" x14ac:dyDescent="0.5">
      <c r="A327" s="1" t="s">
        <v>340</v>
      </c>
      <c r="B327" s="1">
        <v>91</v>
      </c>
      <c r="C327" s="1">
        <v>0</v>
      </c>
      <c r="D327" s="1">
        <v>91</v>
      </c>
    </row>
    <row r="328" spans="1:4" x14ac:dyDescent="0.5">
      <c r="A328" s="1" t="s">
        <v>725</v>
      </c>
      <c r="B328" s="1">
        <v>72</v>
      </c>
      <c r="C328" s="1">
        <v>0</v>
      </c>
      <c r="D328" s="1">
        <v>72</v>
      </c>
    </row>
    <row r="329" spans="1:4" x14ac:dyDescent="0.5">
      <c r="A329" s="1" t="s">
        <v>757</v>
      </c>
      <c r="B329" s="1">
        <v>151</v>
      </c>
      <c r="C329" s="1">
        <v>0</v>
      </c>
      <c r="D329" s="1">
        <v>151</v>
      </c>
    </row>
    <row r="330" spans="1:4" x14ac:dyDescent="0.5">
      <c r="A330" s="1" t="s">
        <v>639</v>
      </c>
      <c r="B330" s="1">
        <v>382</v>
      </c>
      <c r="C330" s="1">
        <v>6</v>
      </c>
      <c r="D330" s="1">
        <v>388</v>
      </c>
    </row>
    <row r="331" spans="1:4" x14ac:dyDescent="0.5">
      <c r="A331" s="1" t="s">
        <v>543</v>
      </c>
      <c r="B331" s="1">
        <v>795</v>
      </c>
      <c r="C331" s="1">
        <v>1</v>
      </c>
      <c r="D331" s="1">
        <v>796</v>
      </c>
    </row>
    <row r="332" spans="1:4" x14ac:dyDescent="0.5">
      <c r="A332" s="1" t="s">
        <v>723</v>
      </c>
      <c r="B332" s="1">
        <v>29</v>
      </c>
      <c r="C332" s="1">
        <v>0</v>
      </c>
      <c r="D332" s="1">
        <v>29</v>
      </c>
    </row>
    <row r="333" spans="1:4" x14ac:dyDescent="0.5">
      <c r="A333" s="1" t="s">
        <v>266</v>
      </c>
      <c r="B333" s="1">
        <v>72</v>
      </c>
      <c r="C333" s="1">
        <v>0</v>
      </c>
      <c r="D333" s="1">
        <v>72</v>
      </c>
    </row>
    <row r="334" spans="1:4" x14ac:dyDescent="0.5">
      <c r="A334" s="1" t="s">
        <v>759</v>
      </c>
      <c r="B334" s="1">
        <v>33467</v>
      </c>
      <c r="C334" s="1">
        <v>7</v>
      </c>
      <c r="D334" s="1">
        <v>33474</v>
      </c>
    </row>
    <row r="335" spans="1:4" x14ac:dyDescent="0.5">
      <c r="A335" s="1" t="s">
        <v>189</v>
      </c>
      <c r="B335" s="1">
        <v>98</v>
      </c>
      <c r="C335" s="1">
        <v>0</v>
      </c>
      <c r="D335" s="1">
        <v>98</v>
      </c>
    </row>
    <row r="336" spans="1:4" x14ac:dyDescent="0.5">
      <c r="A336" s="1" t="s">
        <v>100</v>
      </c>
      <c r="B336" s="1">
        <v>74591</v>
      </c>
      <c r="C336" s="1">
        <v>164</v>
      </c>
      <c r="D336" s="1">
        <v>74755</v>
      </c>
    </row>
    <row r="337" spans="1:4" x14ac:dyDescent="0.5">
      <c r="A337" s="1" t="s">
        <v>395</v>
      </c>
      <c r="B337" s="1">
        <v>88</v>
      </c>
      <c r="C337" s="1">
        <v>0</v>
      </c>
      <c r="D337" s="1">
        <v>88</v>
      </c>
    </row>
    <row r="338" spans="1:4" x14ac:dyDescent="0.5">
      <c r="A338" s="1" t="s">
        <v>420</v>
      </c>
      <c r="B338" s="1">
        <v>225</v>
      </c>
      <c r="C338" s="1">
        <v>0</v>
      </c>
      <c r="D338" s="1">
        <v>225</v>
      </c>
    </row>
    <row r="339" spans="1:4" x14ac:dyDescent="0.5">
      <c r="A339" s="1" t="s">
        <v>243</v>
      </c>
      <c r="B339" s="1">
        <v>9038</v>
      </c>
      <c r="C339" s="1">
        <v>27</v>
      </c>
      <c r="D339" s="1">
        <v>9065</v>
      </c>
    </row>
    <row r="340" spans="1:4" x14ac:dyDescent="0.5">
      <c r="A340" s="1" t="s">
        <v>215</v>
      </c>
      <c r="B340" s="1">
        <v>181</v>
      </c>
      <c r="C340" s="1">
        <v>0</v>
      </c>
      <c r="D340" s="1">
        <v>181</v>
      </c>
    </row>
    <row r="341" spans="1:4" x14ac:dyDescent="0.5">
      <c r="A341" s="1" t="s">
        <v>160</v>
      </c>
      <c r="B341" s="1">
        <v>3901</v>
      </c>
      <c r="C341" s="1">
        <v>56</v>
      </c>
      <c r="D341" s="1">
        <v>3957</v>
      </c>
    </row>
    <row r="342" spans="1:4" x14ac:dyDescent="0.5">
      <c r="A342" s="1" t="s">
        <v>148</v>
      </c>
      <c r="B342" s="1">
        <v>58687</v>
      </c>
      <c r="C342" s="1">
        <v>80</v>
      </c>
      <c r="D342" s="1">
        <v>58767</v>
      </c>
    </row>
    <row r="343" spans="1:4" x14ac:dyDescent="0.5">
      <c r="A343" s="1" t="s">
        <v>66</v>
      </c>
      <c r="B343" s="1">
        <v>40941</v>
      </c>
      <c r="C343" s="1">
        <v>87</v>
      </c>
      <c r="D343" s="1">
        <v>41028</v>
      </c>
    </row>
    <row r="344" spans="1:4" x14ac:dyDescent="0.5">
      <c r="A344" s="1" t="s">
        <v>36</v>
      </c>
      <c r="B344" s="1">
        <v>284</v>
      </c>
      <c r="C344" s="1">
        <v>4</v>
      </c>
      <c r="D344" s="1">
        <v>288</v>
      </c>
    </row>
    <row r="345" spans="1:4" x14ac:dyDescent="0.5">
      <c r="A345" s="1" t="s">
        <v>364</v>
      </c>
      <c r="B345" s="1">
        <v>15474</v>
      </c>
      <c r="C345" s="1">
        <v>91</v>
      </c>
      <c r="D345" s="1">
        <v>15565</v>
      </c>
    </row>
    <row r="346" spans="1:4" x14ac:dyDescent="0.5">
      <c r="A346" s="1" t="s">
        <v>92</v>
      </c>
      <c r="B346" s="1">
        <v>92</v>
      </c>
      <c r="C346" s="1">
        <v>0</v>
      </c>
      <c r="D346" s="1">
        <v>92</v>
      </c>
    </row>
    <row r="347" spans="1:4" x14ac:dyDescent="0.5">
      <c r="A347" s="1" t="s">
        <v>650</v>
      </c>
      <c r="B347" s="1">
        <v>48</v>
      </c>
      <c r="C347" s="1">
        <v>0</v>
      </c>
      <c r="D347" s="1">
        <v>48</v>
      </c>
    </row>
    <row r="348" spans="1:4" x14ac:dyDescent="0.5">
      <c r="A348" s="1" t="s">
        <v>429</v>
      </c>
      <c r="B348" s="1">
        <v>232</v>
      </c>
      <c r="C348" s="1">
        <v>0</v>
      </c>
      <c r="D348" s="1">
        <v>232</v>
      </c>
    </row>
    <row r="349" spans="1:4" x14ac:dyDescent="0.5">
      <c r="A349" s="1" t="s">
        <v>616</v>
      </c>
      <c r="B349" s="1">
        <v>1309</v>
      </c>
      <c r="C349" s="1">
        <v>13</v>
      </c>
      <c r="D349" s="1">
        <v>1322</v>
      </c>
    </row>
    <row r="350" spans="1:4" x14ac:dyDescent="0.5">
      <c r="A350" s="1" t="s">
        <v>585</v>
      </c>
      <c r="B350" s="1">
        <v>86865</v>
      </c>
      <c r="C350" s="1">
        <v>238</v>
      </c>
      <c r="D350" s="1">
        <v>87103</v>
      </c>
    </row>
    <row r="351" spans="1:4" x14ac:dyDescent="0.5">
      <c r="A351" s="1" t="s">
        <v>522</v>
      </c>
      <c r="B351" s="1">
        <v>173</v>
      </c>
      <c r="C351" s="1">
        <v>0</v>
      </c>
      <c r="D351" s="1">
        <v>173</v>
      </c>
    </row>
    <row r="352" spans="1:4" x14ac:dyDescent="0.5">
      <c r="A352" s="1" t="s">
        <v>413</v>
      </c>
      <c r="B352" s="1">
        <v>96</v>
      </c>
      <c r="C352" s="1">
        <v>0</v>
      </c>
      <c r="D352" s="1">
        <v>96</v>
      </c>
    </row>
    <row r="353" spans="1:4" x14ac:dyDescent="0.5">
      <c r="A353" s="1" t="s">
        <v>181</v>
      </c>
      <c r="B353" s="1">
        <v>52</v>
      </c>
      <c r="C353" s="1">
        <v>2</v>
      </c>
      <c r="D353" s="1">
        <v>54</v>
      </c>
    </row>
    <row r="354" spans="1:4" x14ac:dyDescent="0.5">
      <c r="A354" s="1" t="s">
        <v>454</v>
      </c>
      <c r="B354" s="1">
        <v>236</v>
      </c>
      <c r="C354" s="1">
        <v>0</v>
      </c>
      <c r="D354" s="1">
        <v>236</v>
      </c>
    </row>
    <row r="355" spans="1:4" x14ac:dyDescent="0.5">
      <c r="A355" s="1" t="s">
        <v>706</v>
      </c>
      <c r="B355" s="1">
        <v>63</v>
      </c>
      <c r="C355" s="1">
        <v>0</v>
      </c>
      <c r="D355" s="1">
        <v>63</v>
      </c>
    </row>
    <row r="356" spans="1:4" x14ac:dyDescent="0.5">
      <c r="A356" s="1" t="s">
        <v>761</v>
      </c>
      <c r="B356" s="1">
        <v>75</v>
      </c>
      <c r="C356" s="1">
        <v>0</v>
      </c>
      <c r="D356" s="1">
        <v>75</v>
      </c>
    </row>
    <row r="357" spans="1:4" x14ac:dyDescent="0.5">
      <c r="A357" s="1" t="s">
        <v>676</v>
      </c>
      <c r="B357" s="1">
        <v>44059</v>
      </c>
      <c r="C357" s="1">
        <v>51</v>
      </c>
      <c r="D357" s="1">
        <v>44110</v>
      </c>
    </row>
    <row r="358" spans="1:4" x14ac:dyDescent="0.5">
      <c r="A358" s="1" t="s">
        <v>414</v>
      </c>
      <c r="B358" s="1">
        <v>91</v>
      </c>
      <c r="C358" s="1">
        <v>0</v>
      </c>
      <c r="D358" s="1">
        <v>91</v>
      </c>
    </row>
    <row r="359" spans="1:4" x14ac:dyDescent="0.5">
      <c r="A359" s="1" t="s">
        <v>620</v>
      </c>
      <c r="B359" s="1">
        <v>272</v>
      </c>
      <c r="C359" s="1">
        <v>0</v>
      </c>
      <c r="D359" s="1">
        <v>272</v>
      </c>
    </row>
    <row r="360" spans="1:4" x14ac:dyDescent="0.5">
      <c r="A360" s="1" t="s">
        <v>401</v>
      </c>
      <c r="B360" s="1">
        <v>100058</v>
      </c>
      <c r="C360" s="1">
        <v>1650</v>
      </c>
      <c r="D360" s="1">
        <v>101708</v>
      </c>
    </row>
    <row r="361" spans="1:4" x14ac:dyDescent="0.5">
      <c r="A361" s="1" t="s">
        <v>662</v>
      </c>
      <c r="B361" s="1">
        <v>49</v>
      </c>
      <c r="C361" s="1">
        <v>0</v>
      </c>
      <c r="D361" s="1">
        <v>49</v>
      </c>
    </row>
    <row r="362" spans="1:4" x14ac:dyDescent="0.5">
      <c r="A362" s="1" t="s">
        <v>770</v>
      </c>
      <c r="B362" s="1">
        <v>100</v>
      </c>
      <c r="C362" s="1">
        <v>0</v>
      </c>
      <c r="D362" s="1">
        <v>100</v>
      </c>
    </row>
    <row r="363" spans="1:4" x14ac:dyDescent="0.5">
      <c r="A363" s="1" t="s">
        <v>481</v>
      </c>
      <c r="B363" s="1">
        <v>37896</v>
      </c>
      <c r="C363" s="1">
        <v>171</v>
      </c>
      <c r="D363" s="1">
        <v>38067</v>
      </c>
    </row>
    <row r="364" spans="1:4" x14ac:dyDescent="0.5">
      <c r="A364" s="1" t="s">
        <v>499</v>
      </c>
      <c r="B364" s="1">
        <v>99</v>
      </c>
      <c r="C364" s="1">
        <v>0</v>
      </c>
      <c r="D364" s="1">
        <v>99</v>
      </c>
    </row>
    <row r="365" spans="1:4" x14ac:dyDescent="0.5">
      <c r="A365" s="1" t="s">
        <v>81</v>
      </c>
      <c r="B365" s="1">
        <v>111</v>
      </c>
      <c r="C365" s="1">
        <v>0</v>
      </c>
      <c r="D365" s="1">
        <v>111</v>
      </c>
    </row>
    <row r="366" spans="1:4" x14ac:dyDescent="0.5">
      <c r="A366" s="1" t="s">
        <v>99</v>
      </c>
      <c r="B366" s="1">
        <v>615</v>
      </c>
      <c r="C366" s="1">
        <v>4</v>
      </c>
      <c r="D366" s="1">
        <v>619</v>
      </c>
    </row>
    <row r="367" spans="1:4" x14ac:dyDescent="0.5">
      <c r="A367" s="1" t="s">
        <v>626</v>
      </c>
      <c r="B367" s="1">
        <v>121</v>
      </c>
      <c r="C367" s="1">
        <v>1</v>
      </c>
      <c r="D367" s="1">
        <v>122</v>
      </c>
    </row>
    <row r="368" spans="1:4" x14ac:dyDescent="0.5">
      <c r="A368" s="1" t="s">
        <v>392</v>
      </c>
      <c r="B368" s="1">
        <v>73</v>
      </c>
      <c r="C368" s="1">
        <v>0</v>
      </c>
      <c r="D368" s="1">
        <v>73</v>
      </c>
    </row>
    <row r="369" spans="1:4" x14ac:dyDescent="0.5">
      <c r="A369" s="1" t="s">
        <v>419</v>
      </c>
      <c r="B369" s="1">
        <v>192</v>
      </c>
      <c r="C369" s="1">
        <v>1</v>
      </c>
      <c r="D369" s="1">
        <v>193</v>
      </c>
    </row>
    <row r="370" spans="1:4" x14ac:dyDescent="0.5">
      <c r="A370" s="1" t="s">
        <v>107</v>
      </c>
      <c r="B370" s="1">
        <v>154</v>
      </c>
      <c r="C370" s="1">
        <v>1</v>
      </c>
      <c r="D370" s="1">
        <v>155</v>
      </c>
    </row>
    <row r="371" spans="1:4" x14ac:dyDescent="0.5">
      <c r="A371" s="1" t="s">
        <v>684</v>
      </c>
      <c r="B371" s="1">
        <v>181</v>
      </c>
      <c r="C371" s="1">
        <v>1</v>
      </c>
      <c r="D371" s="1">
        <v>182</v>
      </c>
    </row>
    <row r="372" spans="1:4" x14ac:dyDescent="0.5">
      <c r="A372" s="1" t="s">
        <v>711</v>
      </c>
      <c r="B372" s="1">
        <v>45</v>
      </c>
      <c r="C372" s="1">
        <v>0</v>
      </c>
      <c r="D372" s="1">
        <v>45</v>
      </c>
    </row>
    <row r="373" spans="1:4" x14ac:dyDescent="0.5">
      <c r="A373" s="1" t="s">
        <v>455</v>
      </c>
      <c r="B373" s="1">
        <v>8</v>
      </c>
      <c r="C373" s="1">
        <v>0</v>
      </c>
      <c r="D373" s="1">
        <v>8</v>
      </c>
    </row>
    <row r="374" spans="1:4" x14ac:dyDescent="0.5">
      <c r="A374" s="1" t="s">
        <v>554</v>
      </c>
      <c r="B374" s="1">
        <v>235</v>
      </c>
      <c r="C374" s="1">
        <v>0</v>
      </c>
      <c r="D374" s="1">
        <v>235</v>
      </c>
    </row>
    <row r="375" spans="1:4" x14ac:dyDescent="0.5">
      <c r="A375" s="1" t="s">
        <v>338</v>
      </c>
      <c r="B375" s="1">
        <v>43</v>
      </c>
      <c r="C375" s="1">
        <v>0</v>
      </c>
      <c r="D375" s="1">
        <v>43</v>
      </c>
    </row>
    <row r="376" spans="1:4" x14ac:dyDescent="0.5">
      <c r="A376" s="1" t="s">
        <v>20</v>
      </c>
      <c r="B376" s="1">
        <v>53350</v>
      </c>
      <c r="C376" s="1">
        <v>388</v>
      </c>
      <c r="D376" s="1">
        <v>53738</v>
      </c>
    </row>
    <row r="377" spans="1:4" x14ac:dyDescent="0.5">
      <c r="A377" s="1" t="s">
        <v>594</v>
      </c>
      <c r="B377" s="1">
        <v>176</v>
      </c>
      <c r="C377" s="1">
        <v>0</v>
      </c>
      <c r="D377" s="1">
        <v>176</v>
      </c>
    </row>
    <row r="378" spans="1:4" x14ac:dyDescent="0.5">
      <c r="A378" s="1" t="s">
        <v>656</v>
      </c>
      <c r="B378" s="1">
        <v>71672</v>
      </c>
      <c r="C378" s="1">
        <v>469</v>
      </c>
      <c r="D378" s="1">
        <v>72141</v>
      </c>
    </row>
    <row r="379" spans="1:4" x14ac:dyDescent="0.5">
      <c r="A379" s="1" t="s">
        <v>630</v>
      </c>
      <c r="B379" s="1">
        <v>747</v>
      </c>
      <c r="C379" s="1">
        <v>9</v>
      </c>
      <c r="D379" s="1">
        <v>756</v>
      </c>
    </row>
    <row r="380" spans="1:4" x14ac:dyDescent="0.5">
      <c r="A380" s="1" t="s">
        <v>707</v>
      </c>
      <c r="B380" s="1">
        <v>54</v>
      </c>
      <c r="C380" s="1">
        <v>0</v>
      </c>
      <c r="D380" s="1">
        <v>54</v>
      </c>
    </row>
    <row r="381" spans="1:4" x14ac:dyDescent="0.5">
      <c r="A381" s="1" t="s">
        <v>439</v>
      </c>
      <c r="B381" s="1">
        <v>65</v>
      </c>
      <c r="C381" s="1">
        <v>0</v>
      </c>
      <c r="D381" s="1">
        <v>65</v>
      </c>
    </row>
    <row r="382" spans="1:4" x14ac:dyDescent="0.5">
      <c r="A382" s="1" t="s">
        <v>221</v>
      </c>
      <c r="B382" s="1">
        <v>58</v>
      </c>
      <c r="C382" s="1">
        <v>0</v>
      </c>
      <c r="D382" s="1">
        <v>58</v>
      </c>
    </row>
    <row r="383" spans="1:4" x14ac:dyDescent="0.5">
      <c r="A383" s="1" t="s">
        <v>348</v>
      </c>
      <c r="B383" s="1">
        <v>135038</v>
      </c>
      <c r="C383" s="1">
        <v>526</v>
      </c>
      <c r="D383" s="1">
        <v>135564</v>
      </c>
    </row>
    <row r="384" spans="1:4" x14ac:dyDescent="0.5">
      <c r="A384" s="1" t="s">
        <v>465</v>
      </c>
      <c r="B384" s="1">
        <v>9</v>
      </c>
      <c r="C384" s="1">
        <v>0</v>
      </c>
      <c r="D384" s="1">
        <v>9</v>
      </c>
    </row>
    <row r="385" spans="1:4" x14ac:dyDescent="0.5">
      <c r="A385" s="1" t="s">
        <v>663</v>
      </c>
      <c r="B385" s="1">
        <v>142</v>
      </c>
      <c r="C385" s="1">
        <v>0</v>
      </c>
      <c r="D385" s="1">
        <v>142</v>
      </c>
    </row>
    <row r="386" spans="1:4" x14ac:dyDescent="0.5">
      <c r="A386" s="1" t="s">
        <v>586</v>
      </c>
      <c r="B386" s="1">
        <v>1955</v>
      </c>
      <c r="C386" s="1">
        <v>10</v>
      </c>
      <c r="D386" s="1">
        <v>1965</v>
      </c>
    </row>
    <row r="387" spans="1:4" x14ac:dyDescent="0.5">
      <c r="A387" s="1" t="s">
        <v>373</v>
      </c>
      <c r="B387" s="1">
        <v>541</v>
      </c>
      <c r="C387" s="1">
        <v>4</v>
      </c>
      <c r="D387" s="1">
        <v>545</v>
      </c>
    </row>
    <row r="388" spans="1:4" x14ac:dyDescent="0.5">
      <c r="A388" s="1" t="s">
        <v>175</v>
      </c>
      <c r="B388" s="1">
        <v>32442</v>
      </c>
      <c r="C388" s="1">
        <v>107</v>
      </c>
      <c r="D388" s="1">
        <v>32549</v>
      </c>
    </row>
    <row r="389" spans="1:4" x14ac:dyDescent="0.5">
      <c r="A389" s="1" t="s">
        <v>374</v>
      </c>
      <c r="B389" s="1">
        <v>68832</v>
      </c>
      <c r="C389" s="1">
        <v>305</v>
      </c>
      <c r="D389" s="1">
        <v>69137</v>
      </c>
    </row>
    <row r="390" spans="1:4" x14ac:dyDescent="0.5">
      <c r="A390" s="1" t="s">
        <v>90</v>
      </c>
      <c r="B390" s="1">
        <v>250</v>
      </c>
      <c r="C390" s="1">
        <v>0</v>
      </c>
      <c r="D390" s="1">
        <v>250</v>
      </c>
    </row>
    <row r="391" spans="1:4" x14ac:dyDescent="0.5">
      <c r="A391" s="1" t="s">
        <v>484</v>
      </c>
      <c r="B391" s="1">
        <v>157</v>
      </c>
      <c r="C391" s="1">
        <v>1</v>
      </c>
      <c r="D391" s="1">
        <v>158</v>
      </c>
    </row>
    <row r="392" spans="1:4" x14ac:dyDescent="0.5">
      <c r="A392" s="1" t="s">
        <v>579</v>
      </c>
      <c r="B392" s="1">
        <v>323</v>
      </c>
      <c r="C392" s="1">
        <v>0</v>
      </c>
      <c r="D392" s="1">
        <v>323</v>
      </c>
    </row>
    <row r="393" spans="1:4" x14ac:dyDescent="0.5">
      <c r="A393" s="1" t="s">
        <v>570</v>
      </c>
      <c r="B393" s="1">
        <v>58</v>
      </c>
      <c r="C393" s="1">
        <v>0</v>
      </c>
      <c r="D393" s="1">
        <v>58</v>
      </c>
    </row>
    <row r="394" spans="1:4" x14ac:dyDescent="0.5">
      <c r="A394" s="1" t="s">
        <v>328</v>
      </c>
      <c r="B394" s="1">
        <v>50045</v>
      </c>
      <c r="C394" s="1">
        <v>175</v>
      </c>
      <c r="D394" s="1">
        <v>50220</v>
      </c>
    </row>
    <row r="395" spans="1:4" x14ac:dyDescent="0.5">
      <c r="A395" s="1" t="s">
        <v>183</v>
      </c>
      <c r="B395" s="1">
        <v>4845</v>
      </c>
      <c r="C395" s="1">
        <v>47</v>
      </c>
      <c r="D395" s="1">
        <v>4892</v>
      </c>
    </row>
    <row r="396" spans="1:4" x14ac:dyDescent="0.5">
      <c r="A396" s="1" t="s">
        <v>443</v>
      </c>
      <c r="B396" s="1">
        <v>29878</v>
      </c>
      <c r="C396" s="1">
        <v>210</v>
      </c>
      <c r="D396" s="1">
        <v>30088</v>
      </c>
    </row>
    <row r="397" spans="1:4" x14ac:dyDescent="0.5">
      <c r="A397" s="1" t="s">
        <v>323</v>
      </c>
      <c r="B397" s="1">
        <v>2716</v>
      </c>
      <c r="C397" s="1">
        <v>31</v>
      </c>
      <c r="D397" s="1">
        <v>2747</v>
      </c>
    </row>
    <row r="398" spans="1:4" x14ac:dyDescent="0.5">
      <c r="A398" s="1" t="s">
        <v>677</v>
      </c>
      <c r="B398" s="1">
        <v>190</v>
      </c>
      <c r="C398" s="1">
        <v>0</v>
      </c>
      <c r="D398" s="1">
        <v>190</v>
      </c>
    </row>
    <row r="399" spans="1:4" x14ac:dyDescent="0.5">
      <c r="A399" s="1" t="s">
        <v>202</v>
      </c>
      <c r="B399" s="1">
        <v>562</v>
      </c>
      <c r="C399" s="1">
        <v>4</v>
      </c>
      <c r="D399" s="1">
        <v>566</v>
      </c>
    </row>
    <row r="400" spans="1:4" x14ac:dyDescent="0.5">
      <c r="A400" s="1" t="s">
        <v>361</v>
      </c>
      <c r="B400" s="1">
        <v>103137</v>
      </c>
      <c r="C400" s="1">
        <v>476</v>
      </c>
      <c r="D400" s="1">
        <v>103613</v>
      </c>
    </row>
    <row r="401" spans="1:4" x14ac:dyDescent="0.5">
      <c r="A401" s="1" t="s">
        <v>503</v>
      </c>
      <c r="B401" s="1">
        <v>87</v>
      </c>
      <c r="C401" s="1">
        <v>1</v>
      </c>
      <c r="D401" s="1">
        <v>88</v>
      </c>
    </row>
    <row r="402" spans="1:4" x14ac:dyDescent="0.5">
      <c r="A402" s="1" t="s">
        <v>669</v>
      </c>
      <c r="B402" s="1">
        <v>131</v>
      </c>
      <c r="C402" s="1">
        <v>0</v>
      </c>
      <c r="D402" s="1">
        <v>131</v>
      </c>
    </row>
    <row r="403" spans="1:4" x14ac:dyDescent="0.5">
      <c r="A403" s="1" t="s">
        <v>207</v>
      </c>
      <c r="B403" s="1">
        <v>54414</v>
      </c>
      <c r="C403" s="1">
        <v>307</v>
      </c>
      <c r="D403" s="1">
        <v>54721</v>
      </c>
    </row>
    <row r="404" spans="1:4" x14ac:dyDescent="0.5">
      <c r="A404" s="1" t="s">
        <v>362</v>
      </c>
      <c r="B404" s="1">
        <v>73705</v>
      </c>
      <c r="C404" s="1">
        <v>168</v>
      </c>
      <c r="D404" s="1">
        <v>73873</v>
      </c>
    </row>
    <row r="405" spans="1:4" x14ac:dyDescent="0.5">
      <c r="A405" s="1" t="s">
        <v>393</v>
      </c>
      <c r="B405" s="1">
        <v>157</v>
      </c>
      <c r="C405" s="1">
        <v>5</v>
      </c>
      <c r="D405" s="1">
        <v>162</v>
      </c>
    </row>
    <row r="406" spans="1:4" x14ac:dyDescent="0.5">
      <c r="A406" s="1" t="s">
        <v>430</v>
      </c>
      <c r="B406" s="1">
        <v>4230</v>
      </c>
      <c r="C406" s="1">
        <v>22</v>
      </c>
      <c r="D406" s="1">
        <v>4252</v>
      </c>
    </row>
    <row r="407" spans="1:4" x14ac:dyDescent="0.5">
      <c r="A407" s="1" t="s">
        <v>771</v>
      </c>
      <c r="B407" s="1">
        <v>278</v>
      </c>
      <c r="C407" s="1">
        <v>0</v>
      </c>
      <c r="D407" s="1">
        <v>278</v>
      </c>
    </row>
    <row r="408" spans="1:4" x14ac:dyDescent="0.5">
      <c r="A408" s="1" t="s">
        <v>634</v>
      </c>
      <c r="B408" s="1">
        <v>187</v>
      </c>
      <c r="C408" s="1">
        <v>1</v>
      </c>
      <c r="D408" s="1">
        <v>188</v>
      </c>
    </row>
    <row r="409" spans="1:4" x14ac:dyDescent="0.5">
      <c r="A409" s="1" t="s">
        <v>144</v>
      </c>
      <c r="B409" s="1">
        <v>588</v>
      </c>
      <c r="C409" s="1">
        <v>0</v>
      </c>
      <c r="D409" s="1">
        <v>588</v>
      </c>
    </row>
    <row r="410" spans="1:4" x14ac:dyDescent="0.5">
      <c r="A410" s="1" t="s">
        <v>494</v>
      </c>
      <c r="B410" s="1">
        <v>28652</v>
      </c>
      <c r="C410" s="1">
        <v>155</v>
      </c>
      <c r="D410" s="1">
        <v>28807</v>
      </c>
    </row>
    <row r="411" spans="1:4" x14ac:dyDescent="0.5">
      <c r="A411" s="1" t="s">
        <v>34</v>
      </c>
      <c r="B411" s="1">
        <v>315</v>
      </c>
      <c r="C411" s="1">
        <v>0</v>
      </c>
      <c r="D411" s="1">
        <v>315</v>
      </c>
    </row>
    <row r="412" spans="1:4" x14ac:dyDescent="0.5">
      <c r="A412" s="1" t="s">
        <v>428</v>
      </c>
      <c r="B412" s="1">
        <v>301</v>
      </c>
      <c r="C412" s="1">
        <v>1</v>
      </c>
      <c r="D412" s="1">
        <v>302</v>
      </c>
    </row>
    <row r="413" spans="1:4" x14ac:dyDescent="0.5">
      <c r="A413" s="1" t="s">
        <v>345</v>
      </c>
      <c r="B413" s="1">
        <v>403</v>
      </c>
      <c r="C413" s="1">
        <v>0</v>
      </c>
      <c r="D413" s="1">
        <v>403</v>
      </c>
    </row>
    <row r="414" spans="1:4" x14ac:dyDescent="0.5">
      <c r="A414" s="1" t="s">
        <v>440</v>
      </c>
      <c r="B414" s="1">
        <v>155</v>
      </c>
      <c r="C414" s="1">
        <v>0</v>
      </c>
      <c r="D414" s="1">
        <v>155</v>
      </c>
    </row>
    <row r="415" spans="1:4" x14ac:dyDescent="0.5">
      <c r="A415" s="1" t="s">
        <v>743</v>
      </c>
      <c r="B415" s="1">
        <v>71764</v>
      </c>
      <c r="C415" s="1">
        <v>533</v>
      </c>
      <c r="D415" s="1">
        <v>72297</v>
      </c>
    </row>
    <row r="416" spans="1:4" x14ac:dyDescent="0.5">
      <c r="A416" s="1" t="s">
        <v>275</v>
      </c>
      <c r="B416" s="1">
        <v>57408</v>
      </c>
      <c r="C416" s="1">
        <v>104</v>
      </c>
      <c r="D416" s="1">
        <v>57512</v>
      </c>
    </row>
    <row r="417" spans="1:4" x14ac:dyDescent="0.5">
      <c r="A417" s="1" t="s">
        <v>315</v>
      </c>
      <c r="B417" s="1">
        <v>81</v>
      </c>
      <c r="C417" s="1">
        <v>0</v>
      </c>
      <c r="D417" s="1">
        <v>81</v>
      </c>
    </row>
    <row r="418" spans="1:4" x14ac:dyDescent="0.5">
      <c r="A418" s="1" t="s">
        <v>152</v>
      </c>
      <c r="B418" s="1">
        <v>82</v>
      </c>
      <c r="C418" s="1">
        <v>0</v>
      </c>
      <c r="D418" s="1">
        <v>82</v>
      </c>
    </row>
    <row r="419" spans="1:4" x14ac:dyDescent="0.5">
      <c r="A419" s="1" t="s">
        <v>203</v>
      </c>
      <c r="B419" s="1">
        <v>43083</v>
      </c>
      <c r="C419" s="1">
        <v>94</v>
      </c>
      <c r="D419" s="1">
        <v>43177</v>
      </c>
    </row>
    <row r="420" spans="1:4" x14ac:dyDescent="0.5">
      <c r="A420" s="1" t="s">
        <v>311</v>
      </c>
      <c r="B420" s="1">
        <v>4175</v>
      </c>
      <c r="C420" s="1">
        <v>77</v>
      </c>
      <c r="D420" s="1">
        <v>4252</v>
      </c>
    </row>
    <row r="421" spans="1:4" x14ac:dyDescent="0.5">
      <c r="A421" s="1" t="s">
        <v>71</v>
      </c>
      <c r="B421" s="1">
        <v>41</v>
      </c>
      <c r="C421" s="1">
        <v>0</v>
      </c>
      <c r="D421" s="1">
        <v>41</v>
      </c>
    </row>
    <row r="422" spans="1:4" x14ac:dyDescent="0.5">
      <c r="A422" s="1" t="s">
        <v>527</v>
      </c>
      <c r="B422" s="1">
        <v>86774</v>
      </c>
      <c r="C422" s="1">
        <v>115</v>
      </c>
      <c r="D422" s="1">
        <v>86889</v>
      </c>
    </row>
    <row r="423" spans="1:4" x14ac:dyDescent="0.5">
      <c r="A423" s="1" t="s">
        <v>351</v>
      </c>
      <c r="B423" s="1">
        <v>97</v>
      </c>
      <c r="C423" s="1">
        <v>0</v>
      </c>
      <c r="D423" s="1">
        <v>97</v>
      </c>
    </row>
    <row r="424" spans="1:4" x14ac:dyDescent="0.5">
      <c r="A424" s="1" t="s">
        <v>561</v>
      </c>
      <c r="B424" s="1">
        <v>421</v>
      </c>
      <c r="C424" s="1">
        <v>0</v>
      </c>
      <c r="D424" s="1">
        <v>421</v>
      </c>
    </row>
    <row r="425" spans="1:4" x14ac:dyDescent="0.5">
      <c r="A425" s="1" t="s">
        <v>69</v>
      </c>
      <c r="B425" s="1">
        <v>56</v>
      </c>
      <c r="C425" s="1">
        <v>0</v>
      </c>
      <c r="D425" s="1">
        <v>56</v>
      </c>
    </row>
    <row r="426" spans="1:4" x14ac:dyDescent="0.5">
      <c r="A426" s="1" t="s">
        <v>623</v>
      </c>
      <c r="B426" s="1">
        <v>55243</v>
      </c>
      <c r="C426" s="1">
        <v>256</v>
      </c>
      <c r="D426" s="1">
        <v>55499</v>
      </c>
    </row>
    <row r="427" spans="1:4" x14ac:dyDescent="0.5">
      <c r="A427" s="1" t="s">
        <v>398</v>
      </c>
      <c r="B427" s="1">
        <v>651</v>
      </c>
      <c r="C427" s="1">
        <v>3</v>
      </c>
      <c r="D427" s="1">
        <v>654</v>
      </c>
    </row>
    <row r="428" spans="1:4" x14ac:dyDescent="0.5">
      <c r="A428" s="1" t="s">
        <v>242</v>
      </c>
      <c r="B428" s="1">
        <v>38932</v>
      </c>
      <c r="C428" s="1">
        <v>61</v>
      </c>
      <c r="D428" s="1">
        <v>38993</v>
      </c>
    </row>
    <row r="429" spans="1:4" x14ac:dyDescent="0.5">
      <c r="A429" s="1" t="s">
        <v>507</v>
      </c>
      <c r="B429" s="1">
        <v>9250</v>
      </c>
      <c r="C429" s="1">
        <v>88</v>
      </c>
      <c r="D429" s="1">
        <v>9338</v>
      </c>
    </row>
    <row r="430" spans="1:4" x14ac:dyDescent="0.5">
      <c r="A430" s="1" t="s">
        <v>546</v>
      </c>
      <c r="B430" s="1">
        <v>78</v>
      </c>
      <c r="C430" s="1">
        <v>0</v>
      </c>
      <c r="D430" s="1">
        <v>78</v>
      </c>
    </row>
    <row r="431" spans="1:4" x14ac:dyDescent="0.5">
      <c r="A431" s="1" t="s">
        <v>94</v>
      </c>
      <c r="B431" s="1">
        <v>64</v>
      </c>
      <c r="C431" s="1">
        <v>0</v>
      </c>
      <c r="D431" s="1">
        <v>64</v>
      </c>
    </row>
    <row r="432" spans="1:4" x14ac:dyDescent="0.5">
      <c r="A432" s="1" t="s">
        <v>276</v>
      </c>
      <c r="B432" s="1">
        <v>53273</v>
      </c>
      <c r="C432" s="1">
        <v>190</v>
      </c>
      <c r="D432" s="1">
        <v>53463</v>
      </c>
    </row>
    <row r="433" spans="1:4" x14ac:dyDescent="0.5">
      <c r="A433" s="1" t="s">
        <v>161</v>
      </c>
      <c r="B433" s="1">
        <v>48907</v>
      </c>
      <c r="C433" s="1">
        <v>114</v>
      </c>
      <c r="D433" s="1">
        <v>49021</v>
      </c>
    </row>
    <row r="434" spans="1:4" x14ac:dyDescent="0.5">
      <c r="A434" s="1" t="s">
        <v>388</v>
      </c>
      <c r="B434" s="1">
        <v>9565</v>
      </c>
      <c r="C434" s="1">
        <v>120</v>
      </c>
      <c r="D434" s="1">
        <v>9685</v>
      </c>
    </row>
    <row r="435" spans="1:4" x14ac:dyDescent="0.5">
      <c r="A435" s="1" t="s">
        <v>208</v>
      </c>
      <c r="B435" s="1">
        <v>6311</v>
      </c>
      <c r="C435" s="1">
        <v>37</v>
      </c>
      <c r="D435" s="1">
        <v>6348</v>
      </c>
    </row>
    <row r="436" spans="1:4" x14ac:dyDescent="0.5">
      <c r="A436" s="1" t="s">
        <v>724</v>
      </c>
      <c r="B436" s="1">
        <v>44</v>
      </c>
      <c r="C436" s="1">
        <v>0</v>
      </c>
      <c r="D436" s="1">
        <v>44</v>
      </c>
    </row>
    <row r="437" spans="1:4" x14ac:dyDescent="0.5">
      <c r="A437" s="1" t="s">
        <v>269</v>
      </c>
      <c r="B437" s="1">
        <v>4302</v>
      </c>
      <c r="C437" s="1">
        <v>21</v>
      </c>
      <c r="D437" s="1">
        <v>4323</v>
      </c>
    </row>
    <row r="438" spans="1:4" x14ac:dyDescent="0.5">
      <c r="A438" s="1" t="s">
        <v>592</v>
      </c>
      <c r="B438" s="1">
        <v>466</v>
      </c>
      <c r="C438" s="1">
        <v>0</v>
      </c>
      <c r="D438" s="1">
        <v>466</v>
      </c>
    </row>
    <row r="439" spans="1:4" x14ac:dyDescent="0.5">
      <c r="A439" s="1" t="s">
        <v>247</v>
      </c>
      <c r="B439" s="1">
        <v>69</v>
      </c>
      <c r="C439" s="1">
        <v>0</v>
      </c>
      <c r="D439" s="1">
        <v>69</v>
      </c>
    </row>
    <row r="440" spans="1:4" x14ac:dyDescent="0.5">
      <c r="A440" s="1" t="s">
        <v>505</v>
      </c>
      <c r="B440" s="1">
        <v>76</v>
      </c>
      <c r="C440" s="1">
        <v>0</v>
      </c>
      <c r="D440" s="1">
        <v>76</v>
      </c>
    </row>
    <row r="441" spans="1:4" x14ac:dyDescent="0.5">
      <c r="A441" s="1" t="s">
        <v>10</v>
      </c>
      <c r="B441" s="1">
        <v>86463</v>
      </c>
      <c r="C441" s="1">
        <v>752</v>
      </c>
      <c r="D441" s="1">
        <v>87215</v>
      </c>
    </row>
    <row r="442" spans="1:4" x14ac:dyDescent="0.5">
      <c r="A442" s="1" t="s">
        <v>341</v>
      </c>
      <c r="B442" s="1">
        <v>20</v>
      </c>
      <c r="C442" s="1">
        <v>0</v>
      </c>
      <c r="D442" s="1">
        <v>20</v>
      </c>
    </row>
    <row r="443" spans="1:4" x14ac:dyDescent="0.5">
      <c r="A443" s="1" t="s">
        <v>67</v>
      </c>
      <c r="B443" s="1">
        <v>52260</v>
      </c>
      <c r="C443" s="1">
        <v>250</v>
      </c>
      <c r="D443" s="1">
        <v>52510</v>
      </c>
    </row>
    <row r="444" spans="1:4" x14ac:dyDescent="0.5">
      <c r="A444" s="1" t="s">
        <v>170</v>
      </c>
      <c r="B444" s="1">
        <v>61805</v>
      </c>
      <c r="C444" s="1">
        <v>202</v>
      </c>
      <c r="D444" s="1">
        <v>62007</v>
      </c>
    </row>
    <row r="445" spans="1:4" x14ac:dyDescent="0.5">
      <c r="A445" s="1" t="s">
        <v>319</v>
      </c>
      <c r="B445" s="1">
        <v>3367</v>
      </c>
      <c r="C445" s="1">
        <v>31</v>
      </c>
      <c r="D445" s="1">
        <v>3398</v>
      </c>
    </row>
    <row r="446" spans="1:4" x14ac:dyDescent="0.5">
      <c r="A446" s="1" t="s">
        <v>533</v>
      </c>
      <c r="B446" s="1">
        <v>2225</v>
      </c>
      <c r="C446" s="1">
        <v>4</v>
      </c>
      <c r="D446" s="1">
        <v>2229</v>
      </c>
    </row>
    <row r="447" spans="1:4" x14ac:dyDescent="0.5">
      <c r="A447" s="1" t="s">
        <v>565</v>
      </c>
      <c r="B447" s="1">
        <v>84</v>
      </c>
      <c r="C447" s="1">
        <v>1</v>
      </c>
      <c r="D447" s="1">
        <v>85</v>
      </c>
    </row>
    <row r="448" spans="1:4" x14ac:dyDescent="0.5">
      <c r="A448" s="1" t="s">
        <v>182</v>
      </c>
      <c r="B448" s="1">
        <v>62</v>
      </c>
      <c r="C448" s="1">
        <v>0</v>
      </c>
      <c r="D448" s="1">
        <v>62</v>
      </c>
    </row>
    <row r="449" spans="1:4" x14ac:dyDescent="0.5">
      <c r="A449" s="1" t="s">
        <v>93</v>
      </c>
      <c r="B449" s="1">
        <v>68</v>
      </c>
      <c r="C449" s="1">
        <v>0</v>
      </c>
      <c r="D449" s="1">
        <v>68</v>
      </c>
    </row>
    <row r="450" spans="1:4" x14ac:dyDescent="0.5">
      <c r="A450" s="1" t="s">
        <v>280</v>
      </c>
      <c r="B450" s="1">
        <v>3316</v>
      </c>
      <c r="C450" s="1">
        <v>18</v>
      </c>
      <c r="D450" s="1">
        <v>3334</v>
      </c>
    </row>
    <row r="451" spans="1:4" x14ac:dyDescent="0.5">
      <c r="A451" s="1" t="s">
        <v>518</v>
      </c>
      <c r="B451" s="1">
        <v>6550</v>
      </c>
      <c r="C451" s="1">
        <v>51</v>
      </c>
      <c r="D451" s="1">
        <v>6601</v>
      </c>
    </row>
    <row r="452" spans="1:4" x14ac:dyDescent="0.5">
      <c r="A452" s="1" t="s">
        <v>685</v>
      </c>
      <c r="B452" s="1">
        <v>58</v>
      </c>
      <c r="C452" s="1">
        <v>0</v>
      </c>
      <c r="D452" s="1">
        <v>58</v>
      </c>
    </row>
    <row r="453" spans="1:4" x14ac:dyDescent="0.5">
      <c r="A453" s="1" t="s">
        <v>695</v>
      </c>
      <c r="B453" s="1">
        <v>50</v>
      </c>
      <c r="C453" s="1">
        <v>1</v>
      </c>
      <c r="D453" s="1">
        <v>51</v>
      </c>
    </row>
    <row r="454" spans="1:4" x14ac:dyDescent="0.5">
      <c r="A454" s="1" t="s">
        <v>528</v>
      </c>
      <c r="B454" s="1">
        <v>12147</v>
      </c>
      <c r="C454" s="1">
        <v>64</v>
      </c>
      <c r="D454" s="1">
        <v>12211</v>
      </c>
    </row>
    <row r="455" spans="1:4" x14ac:dyDescent="0.5">
      <c r="A455" s="1" t="s">
        <v>198</v>
      </c>
      <c r="B455" s="1">
        <v>43293</v>
      </c>
      <c r="C455" s="1">
        <v>103</v>
      </c>
      <c r="D455" s="1">
        <v>43396</v>
      </c>
    </row>
    <row r="456" spans="1:4" x14ac:dyDescent="0.5">
      <c r="A456" s="1" t="s">
        <v>190</v>
      </c>
      <c r="B456" s="1">
        <v>166</v>
      </c>
      <c r="C456" s="1">
        <v>0</v>
      </c>
      <c r="D456" s="1">
        <v>166</v>
      </c>
    </row>
    <row r="457" spans="1:4" x14ac:dyDescent="0.5">
      <c r="A457" s="1" t="s">
        <v>138</v>
      </c>
      <c r="B457" s="1">
        <v>6847</v>
      </c>
      <c r="C457" s="1">
        <v>17</v>
      </c>
      <c r="D457" s="1">
        <v>6864</v>
      </c>
    </row>
    <row r="458" spans="1:4" x14ac:dyDescent="0.5">
      <c r="A458" s="1" t="s">
        <v>697</v>
      </c>
      <c r="B458" s="1">
        <v>110</v>
      </c>
      <c r="C458" s="1">
        <v>0</v>
      </c>
      <c r="D458" s="1">
        <v>110</v>
      </c>
    </row>
    <row r="459" spans="1:4" x14ac:dyDescent="0.5">
      <c r="A459" s="1" t="s">
        <v>659</v>
      </c>
      <c r="B459" s="1">
        <v>436</v>
      </c>
      <c r="C459" s="1">
        <v>7</v>
      </c>
      <c r="D459" s="1">
        <v>443</v>
      </c>
    </row>
    <row r="460" spans="1:4" x14ac:dyDescent="0.5">
      <c r="A460" s="1" t="s">
        <v>690</v>
      </c>
      <c r="B460" s="1">
        <v>11788</v>
      </c>
      <c r="C460" s="1">
        <v>35</v>
      </c>
      <c r="D460" s="1">
        <v>11823</v>
      </c>
    </row>
    <row r="461" spans="1:4" x14ac:dyDescent="0.5">
      <c r="A461" s="1" t="s">
        <v>366</v>
      </c>
      <c r="B461" s="1">
        <v>79</v>
      </c>
      <c r="C461" s="1">
        <v>0</v>
      </c>
      <c r="D461" s="1">
        <v>79</v>
      </c>
    </row>
    <row r="462" spans="1:4" x14ac:dyDescent="0.5">
      <c r="A462" s="1" t="s">
        <v>658</v>
      </c>
      <c r="B462" s="1">
        <v>3576</v>
      </c>
      <c r="C462" s="1">
        <v>51</v>
      </c>
      <c r="D462" s="1">
        <v>3627</v>
      </c>
    </row>
    <row r="463" spans="1:4" x14ac:dyDescent="0.5">
      <c r="A463" s="1" t="s">
        <v>541</v>
      </c>
      <c r="B463" s="1">
        <v>85</v>
      </c>
      <c r="C463" s="1">
        <v>0</v>
      </c>
      <c r="D463" s="1">
        <v>85</v>
      </c>
    </row>
    <row r="464" spans="1:4" x14ac:dyDescent="0.5">
      <c r="A464" s="1" t="s">
        <v>325</v>
      </c>
      <c r="B464" s="1">
        <v>91</v>
      </c>
      <c r="C464" s="1">
        <v>0</v>
      </c>
      <c r="D464" s="1">
        <v>91</v>
      </c>
    </row>
    <row r="465" spans="1:4" x14ac:dyDescent="0.5">
      <c r="A465" s="1" t="s">
        <v>59</v>
      </c>
      <c r="B465" s="1">
        <v>111</v>
      </c>
      <c r="C465" s="1">
        <v>1</v>
      </c>
      <c r="D465" s="1">
        <v>112</v>
      </c>
    </row>
    <row r="466" spans="1:4" x14ac:dyDescent="0.5">
      <c r="A466" s="1" t="s">
        <v>382</v>
      </c>
      <c r="B466" s="1">
        <v>130</v>
      </c>
      <c r="C466" s="1">
        <v>0</v>
      </c>
      <c r="D466" s="1">
        <v>130</v>
      </c>
    </row>
    <row r="467" spans="1:4" x14ac:dyDescent="0.5">
      <c r="A467" s="1" t="s">
        <v>132</v>
      </c>
      <c r="B467" s="1">
        <v>128</v>
      </c>
      <c r="C467" s="1">
        <v>1</v>
      </c>
      <c r="D467" s="1">
        <v>129</v>
      </c>
    </row>
    <row r="468" spans="1:4" x14ac:dyDescent="0.5">
      <c r="A468" s="1" t="s">
        <v>400</v>
      </c>
      <c r="B468" s="1">
        <v>174</v>
      </c>
      <c r="C468" s="1">
        <v>0</v>
      </c>
      <c r="D468" s="1">
        <v>174</v>
      </c>
    </row>
    <row r="469" spans="1:4" x14ac:dyDescent="0.5">
      <c r="A469" s="1" t="s">
        <v>352</v>
      </c>
      <c r="B469" s="1">
        <v>69</v>
      </c>
      <c r="C469" s="1">
        <v>0</v>
      </c>
      <c r="D469" s="1">
        <v>69</v>
      </c>
    </row>
    <row r="470" spans="1:4" x14ac:dyDescent="0.5">
      <c r="A470" s="1" t="s">
        <v>145</v>
      </c>
      <c r="B470" s="1">
        <v>472</v>
      </c>
      <c r="C470" s="1">
        <v>1</v>
      </c>
      <c r="D470" s="1">
        <v>473</v>
      </c>
    </row>
    <row r="471" spans="1:4" x14ac:dyDescent="0.5">
      <c r="A471" s="1" t="s">
        <v>58</v>
      </c>
      <c r="B471" s="1">
        <v>90</v>
      </c>
      <c r="C471" s="1">
        <v>1</v>
      </c>
      <c r="D471" s="1">
        <v>91</v>
      </c>
    </row>
    <row r="472" spans="1:4" x14ac:dyDescent="0.5">
      <c r="A472" s="1" t="s">
        <v>476</v>
      </c>
      <c r="B472" s="1">
        <v>78</v>
      </c>
      <c r="C472" s="1">
        <v>0</v>
      </c>
      <c r="D472" s="1">
        <v>78</v>
      </c>
    </row>
    <row r="473" spans="1:4" x14ac:dyDescent="0.5">
      <c r="A473" s="1" t="s">
        <v>294</v>
      </c>
      <c r="B473" s="1">
        <v>41034</v>
      </c>
      <c r="C473" s="1">
        <v>86</v>
      </c>
      <c r="D473" s="1">
        <v>41120</v>
      </c>
    </row>
    <row r="474" spans="1:4" x14ac:dyDescent="0.5">
      <c r="A474" s="1" t="s">
        <v>277</v>
      </c>
      <c r="B474" s="1">
        <v>712</v>
      </c>
      <c r="C474" s="1">
        <v>2</v>
      </c>
      <c r="D474" s="1">
        <v>714</v>
      </c>
    </row>
    <row r="475" spans="1:4" x14ac:dyDescent="0.5">
      <c r="A475" s="1" t="s">
        <v>590</v>
      </c>
      <c r="B475" s="1">
        <v>133</v>
      </c>
      <c r="C475" s="1">
        <v>1</v>
      </c>
      <c r="D475" s="1">
        <v>134</v>
      </c>
    </row>
    <row r="476" spans="1:4" x14ac:dyDescent="0.5">
      <c r="A476" s="1" t="s">
        <v>82</v>
      </c>
      <c r="B476" s="1">
        <v>140</v>
      </c>
      <c r="C476" s="1">
        <v>0</v>
      </c>
      <c r="D476" s="1">
        <v>140</v>
      </c>
    </row>
    <row r="477" spans="1:4" x14ac:dyDescent="0.5">
      <c r="A477" s="1" t="s">
        <v>61</v>
      </c>
      <c r="B477" s="1">
        <v>109</v>
      </c>
      <c r="C477" s="1">
        <v>0</v>
      </c>
      <c r="D477" s="1">
        <v>109</v>
      </c>
    </row>
    <row r="478" spans="1:4" x14ac:dyDescent="0.5">
      <c r="A478" s="1" t="s">
        <v>167</v>
      </c>
      <c r="B478" s="1">
        <v>204</v>
      </c>
      <c r="C478" s="1">
        <v>1</v>
      </c>
      <c r="D478" s="1">
        <v>205</v>
      </c>
    </row>
    <row r="479" spans="1:4" x14ac:dyDescent="0.5">
      <c r="A479" s="1" t="s">
        <v>587</v>
      </c>
      <c r="B479" s="1">
        <v>112809</v>
      </c>
      <c r="C479" s="1">
        <v>182</v>
      </c>
      <c r="D479" s="1">
        <v>112991</v>
      </c>
    </row>
    <row r="480" spans="1:4" x14ac:dyDescent="0.5">
      <c r="A480" s="1" t="s">
        <v>133</v>
      </c>
      <c r="B480" s="1">
        <v>8621</v>
      </c>
      <c r="C480" s="1">
        <v>34</v>
      </c>
      <c r="D480" s="1">
        <v>8655</v>
      </c>
    </row>
    <row r="481" spans="1:4" x14ac:dyDescent="0.5">
      <c r="A481" s="1" t="s">
        <v>504</v>
      </c>
      <c r="B481" s="1">
        <v>100</v>
      </c>
      <c r="C481" s="1">
        <v>0</v>
      </c>
      <c r="D481" s="1">
        <v>100</v>
      </c>
    </row>
    <row r="482" spans="1:4" x14ac:dyDescent="0.5">
      <c r="A482" s="1" t="s">
        <v>562</v>
      </c>
      <c r="B482" s="1">
        <v>48478</v>
      </c>
      <c r="C482" s="1">
        <v>155</v>
      </c>
      <c r="D482" s="1">
        <v>48633</v>
      </c>
    </row>
    <row r="483" spans="1:4" x14ac:dyDescent="0.5">
      <c r="A483" s="1" t="s">
        <v>557</v>
      </c>
      <c r="B483" s="1">
        <v>96</v>
      </c>
      <c r="C483" s="1">
        <v>0</v>
      </c>
      <c r="D483" s="1">
        <v>96</v>
      </c>
    </row>
    <row r="484" spans="1:4" x14ac:dyDescent="0.5">
      <c r="A484" s="1" t="s">
        <v>483</v>
      </c>
      <c r="B484" s="1">
        <v>18558</v>
      </c>
      <c r="C484" s="1">
        <v>59</v>
      </c>
      <c r="D484" s="1">
        <v>18617</v>
      </c>
    </row>
    <row r="485" spans="1:4" x14ac:dyDescent="0.5">
      <c r="A485" s="1" t="s">
        <v>384</v>
      </c>
      <c r="B485" s="1">
        <v>223</v>
      </c>
      <c r="C485" s="1">
        <v>0</v>
      </c>
      <c r="D485" s="1">
        <v>223</v>
      </c>
    </row>
    <row r="486" spans="1:4" x14ac:dyDescent="0.5">
      <c r="A486" s="1" t="s">
        <v>158</v>
      </c>
      <c r="B486" s="1">
        <v>150</v>
      </c>
      <c r="C486" s="1">
        <v>2</v>
      </c>
      <c r="D486" s="1">
        <v>152</v>
      </c>
    </row>
    <row r="487" spans="1:4" x14ac:dyDescent="0.5">
      <c r="A487" s="1" t="s">
        <v>296</v>
      </c>
      <c r="B487" s="1">
        <v>66</v>
      </c>
      <c r="C487" s="1">
        <v>0</v>
      </c>
      <c r="D487" s="1">
        <v>66</v>
      </c>
    </row>
    <row r="488" spans="1:4" x14ac:dyDescent="0.5">
      <c r="A488" s="1" t="s">
        <v>297</v>
      </c>
      <c r="B488" s="1">
        <v>204</v>
      </c>
      <c r="C488" s="1">
        <v>0</v>
      </c>
      <c r="D488" s="1">
        <v>204</v>
      </c>
    </row>
    <row r="489" spans="1:4" x14ac:dyDescent="0.5">
      <c r="A489" s="1" t="s">
        <v>270</v>
      </c>
      <c r="B489" s="1">
        <v>624</v>
      </c>
      <c r="C489" s="1">
        <v>2</v>
      </c>
      <c r="D489" s="1">
        <v>626</v>
      </c>
    </row>
    <row r="490" spans="1:4" x14ac:dyDescent="0.5">
      <c r="A490" s="1" t="s">
        <v>354</v>
      </c>
      <c r="B490" s="1">
        <v>139</v>
      </c>
      <c r="C490" s="1">
        <v>0</v>
      </c>
      <c r="D490" s="1">
        <v>139</v>
      </c>
    </row>
    <row r="491" spans="1:4" x14ac:dyDescent="0.5">
      <c r="A491" s="1" t="s">
        <v>187</v>
      </c>
      <c r="B491" s="1">
        <v>35</v>
      </c>
      <c r="C491" s="1">
        <v>0</v>
      </c>
      <c r="D491" s="1">
        <v>35</v>
      </c>
    </row>
    <row r="492" spans="1:4" x14ac:dyDescent="0.5">
      <c r="A492" s="1" t="s">
        <v>38</v>
      </c>
      <c r="B492" s="1">
        <v>3829</v>
      </c>
      <c r="C492" s="1">
        <v>23</v>
      </c>
      <c r="D492" s="1">
        <v>3852</v>
      </c>
    </row>
    <row r="493" spans="1:4" x14ac:dyDescent="0.5">
      <c r="A493" s="1" t="s">
        <v>301</v>
      </c>
      <c r="B493" s="1">
        <v>152</v>
      </c>
      <c r="C493" s="1">
        <v>0</v>
      </c>
      <c r="D493" s="1">
        <v>152</v>
      </c>
    </row>
    <row r="494" spans="1:4" x14ac:dyDescent="0.5">
      <c r="A494" s="1" t="s">
        <v>617</v>
      </c>
      <c r="B494" s="1">
        <v>58029</v>
      </c>
      <c r="C494" s="1">
        <v>188</v>
      </c>
      <c r="D494" s="1">
        <v>58217</v>
      </c>
    </row>
    <row r="495" spans="1:4" x14ac:dyDescent="0.5">
      <c r="A495" s="1" t="s">
        <v>329</v>
      </c>
      <c r="B495" s="1">
        <v>458</v>
      </c>
      <c r="C495" s="1">
        <v>3</v>
      </c>
      <c r="D495" s="1">
        <v>461</v>
      </c>
    </row>
    <row r="496" spans="1:4" x14ac:dyDescent="0.5">
      <c r="A496" s="1" t="s">
        <v>383</v>
      </c>
      <c r="B496" s="1">
        <v>73</v>
      </c>
      <c r="C496" s="1">
        <v>1</v>
      </c>
      <c r="D496" s="1">
        <v>74</v>
      </c>
    </row>
    <row r="497" spans="1:4" x14ac:dyDescent="0.5">
      <c r="A497" s="1" t="s">
        <v>113</v>
      </c>
      <c r="B497" s="1">
        <v>118746</v>
      </c>
      <c r="C497" s="1">
        <v>769</v>
      </c>
      <c r="D497" s="1">
        <v>119515</v>
      </c>
    </row>
    <row r="498" spans="1:4" x14ac:dyDescent="0.5">
      <c r="A498" s="1" t="s">
        <v>87</v>
      </c>
      <c r="B498" s="1">
        <v>723</v>
      </c>
      <c r="C498" s="1">
        <v>2</v>
      </c>
      <c r="D498" s="1">
        <v>725</v>
      </c>
    </row>
    <row r="499" spans="1:4" x14ac:dyDescent="0.5">
      <c r="A499" s="1" t="s">
        <v>547</v>
      </c>
      <c r="B499" s="1">
        <v>68</v>
      </c>
      <c r="C499" s="1">
        <v>0</v>
      </c>
      <c r="D499" s="1">
        <v>68</v>
      </c>
    </row>
    <row r="500" spans="1:4" x14ac:dyDescent="0.5">
      <c r="A500" s="1" t="s">
        <v>631</v>
      </c>
      <c r="B500" s="1">
        <v>73696</v>
      </c>
      <c r="C500" s="1">
        <v>364</v>
      </c>
      <c r="D500" s="1">
        <v>74060</v>
      </c>
    </row>
    <row r="501" spans="1:4" x14ac:dyDescent="0.5">
      <c r="A501" s="1" t="s">
        <v>457</v>
      </c>
      <c r="B501" s="1">
        <v>14</v>
      </c>
      <c r="C501" s="1">
        <v>1</v>
      </c>
      <c r="D501" s="1">
        <v>15</v>
      </c>
    </row>
    <row r="502" spans="1:4" x14ac:dyDescent="0.5">
      <c r="A502" s="1" t="s">
        <v>472</v>
      </c>
      <c r="B502" s="1">
        <v>154</v>
      </c>
      <c r="C502" s="1">
        <v>1</v>
      </c>
      <c r="D502" s="1">
        <v>155</v>
      </c>
    </row>
    <row r="503" spans="1:4" x14ac:dyDescent="0.5">
      <c r="A503" s="1" t="s">
        <v>185</v>
      </c>
      <c r="B503" s="1">
        <v>67839</v>
      </c>
      <c r="C503" s="1">
        <v>361</v>
      </c>
      <c r="D503" s="1">
        <v>68200</v>
      </c>
    </row>
    <row r="504" spans="1:4" x14ac:dyDescent="0.5">
      <c r="A504" s="1" t="s">
        <v>581</v>
      </c>
      <c r="B504" s="1">
        <v>143</v>
      </c>
      <c r="C504" s="1">
        <v>0</v>
      </c>
      <c r="D504" s="1">
        <v>143</v>
      </c>
    </row>
    <row r="505" spans="1:4" x14ac:dyDescent="0.5">
      <c r="A505" s="1" t="s">
        <v>520</v>
      </c>
      <c r="B505" s="1">
        <v>77</v>
      </c>
      <c r="C505" s="1">
        <v>0</v>
      </c>
      <c r="D505" s="1">
        <v>77</v>
      </c>
    </row>
    <row r="506" spans="1:4" x14ac:dyDescent="0.5">
      <c r="A506" s="1" t="s">
        <v>191</v>
      </c>
      <c r="B506" s="1">
        <v>252</v>
      </c>
      <c r="C506" s="1">
        <v>0</v>
      </c>
      <c r="D506" s="1">
        <v>252</v>
      </c>
    </row>
    <row r="507" spans="1:4" x14ac:dyDescent="0.5">
      <c r="A507" s="1" t="s">
        <v>607</v>
      </c>
      <c r="B507" s="1">
        <v>221</v>
      </c>
      <c r="C507" s="1">
        <v>0</v>
      </c>
      <c r="D507" s="1">
        <v>221</v>
      </c>
    </row>
    <row r="508" spans="1:4" x14ac:dyDescent="0.5">
      <c r="A508" s="1" t="s">
        <v>402</v>
      </c>
      <c r="B508" s="1">
        <v>873</v>
      </c>
      <c r="C508" s="1">
        <v>30</v>
      </c>
      <c r="D508" s="1">
        <v>903</v>
      </c>
    </row>
    <row r="509" spans="1:4" x14ac:dyDescent="0.5">
      <c r="A509" s="1" t="s">
        <v>162</v>
      </c>
      <c r="B509" s="1">
        <v>31918</v>
      </c>
      <c r="C509" s="1">
        <v>110</v>
      </c>
      <c r="D509" s="1">
        <v>32028</v>
      </c>
    </row>
    <row r="510" spans="1:4" x14ac:dyDescent="0.5">
      <c r="A510" s="1" t="s">
        <v>298</v>
      </c>
      <c r="B510" s="1">
        <v>105</v>
      </c>
      <c r="C510" s="1">
        <v>0</v>
      </c>
      <c r="D510" s="1">
        <v>105</v>
      </c>
    </row>
    <row r="511" spans="1:4" x14ac:dyDescent="0.5">
      <c r="A511" s="1" t="s">
        <v>573</v>
      </c>
      <c r="B511" s="1">
        <v>47362</v>
      </c>
      <c r="C511" s="1">
        <v>82</v>
      </c>
      <c r="D511" s="1">
        <v>47444</v>
      </c>
    </row>
    <row r="512" spans="1:4" x14ac:dyDescent="0.5">
      <c r="A512" s="1" t="s">
        <v>225</v>
      </c>
      <c r="B512" s="1">
        <v>224</v>
      </c>
      <c r="C512" s="1">
        <v>0</v>
      </c>
      <c r="D512" s="1">
        <v>224</v>
      </c>
    </row>
    <row r="513" spans="1:4" x14ac:dyDescent="0.5">
      <c r="A513" s="1" t="s">
        <v>295</v>
      </c>
      <c r="B513" s="1">
        <v>319</v>
      </c>
      <c r="C513" s="1">
        <v>2</v>
      </c>
      <c r="D513" s="1">
        <v>321</v>
      </c>
    </row>
    <row r="514" spans="1:4" x14ac:dyDescent="0.5">
      <c r="A514" s="1" t="s">
        <v>721</v>
      </c>
      <c r="B514" s="1">
        <v>24</v>
      </c>
      <c r="C514" s="1">
        <v>0</v>
      </c>
      <c r="D514" s="1">
        <v>24</v>
      </c>
    </row>
    <row r="515" spans="1:4" x14ac:dyDescent="0.5">
      <c r="A515" s="1" t="s">
        <v>320</v>
      </c>
      <c r="B515" s="1">
        <v>89</v>
      </c>
      <c r="C515" s="1">
        <v>2</v>
      </c>
      <c r="D515" s="1">
        <v>91</v>
      </c>
    </row>
    <row r="516" spans="1:4" x14ac:dyDescent="0.5">
      <c r="A516" s="1" t="s">
        <v>433</v>
      </c>
      <c r="B516" s="1">
        <v>70</v>
      </c>
      <c r="C516" s="1">
        <v>0</v>
      </c>
      <c r="D516" s="1">
        <v>70</v>
      </c>
    </row>
    <row r="517" spans="1:4" x14ac:dyDescent="0.5">
      <c r="A517" s="1" t="s">
        <v>290</v>
      </c>
      <c r="B517" s="1">
        <v>415</v>
      </c>
      <c r="C517" s="1">
        <v>1</v>
      </c>
      <c r="D517" s="1">
        <v>416</v>
      </c>
    </row>
    <row r="518" spans="1:4" x14ac:dyDescent="0.5">
      <c r="A518" s="1" t="s">
        <v>763</v>
      </c>
      <c r="B518" s="1">
        <v>227</v>
      </c>
      <c r="C518" s="1">
        <v>0</v>
      </c>
      <c r="D518" s="1">
        <v>227</v>
      </c>
    </row>
    <row r="519" spans="1:4" x14ac:dyDescent="0.5">
      <c r="A519" s="1" t="s">
        <v>575</v>
      </c>
      <c r="B519" s="1">
        <v>62073</v>
      </c>
      <c r="C519" s="1">
        <v>82</v>
      </c>
      <c r="D519" s="1">
        <v>62155</v>
      </c>
    </row>
    <row r="520" spans="1:4" x14ac:dyDescent="0.5">
      <c r="A520" s="1" t="s">
        <v>288</v>
      </c>
      <c r="B520" s="1">
        <v>60</v>
      </c>
      <c r="C520" s="1">
        <v>0</v>
      </c>
      <c r="D520" s="1">
        <v>60</v>
      </c>
    </row>
    <row r="521" spans="1:4" x14ac:dyDescent="0.5">
      <c r="A521" s="1" t="s">
        <v>445</v>
      </c>
      <c r="B521" s="1">
        <v>4531</v>
      </c>
      <c r="C521" s="1">
        <v>37</v>
      </c>
      <c r="D521" s="1">
        <v>4568</v>
      </c>
    </row>
    <row r="522" spans="1:4" x14ac:dyDescent="0.5">
      <c r="A522" s="1" t="s">
        <v>390</v>
      </c>
      <c r="B522" s="1">
        <v>144938</v>
      </c>
      <c r="C522" s="1">
        <v>1357</v>
      </c>
      <c r="D522" s="1">
        <v>146295</v>
      </c>
    </row>
    <row r="523" spans="1:4" x14ac:dyDescent="0.5">
      <c r="A523" s="1" t="s">
        <v>776</v>
      </c>
      <c r="B523" s="1">
        <v>70</v>
      </c>
      <c r="C523" s="1">
        <v>1</v>
      </c>
      <c r="D523" s="1">
        <v>71</v>
      </c>
    </row>
    <row r="524" spans="1:4" x14ac:dyDescent="0.5">
      <c r="A524" s="1" t="s">
        <v>155</v>
      </c>
      <c r="B524" s="1">
        <v>72</v>
      </c>
      <c r="C524" s="1">
        <v>0</v>
      </c>
      <c r="D524" s="1">
        <v>72</v>
      </c>
    </row>
    <row r="525" spans="1:4" x14ac:dyDescent="0.5">
      <c r="A525" s="1" t="s">
        <v>568</v>
      </c>
      <c r="B525" s="1">
        <v>28</v>
      </c>
      <c r="C525" s="1">
        <v>0</v>
      </c>
      <c r="D525" s="1">
        <v>28</v>
      </c>
    </row>
    <row r="526" spans="1:4" x14ac:dyDescent="0.5">
      <c r="A526" s="1" t="s">
        <v>64</v>
      </c>
      <c r="B526" s="1">
        <v>107</v>
      </c>
      <c r="C526" s="1">
        <v>0</v>
      </c>
      <c r="D526" s="1">
        <v>107</v>
      </c>
    </row>
    <row r="527" spans="1:4" x14ac:dyDescent="0.5">
      <c r="A527" s="1" t="s">
        <v>459</v>
      </c>
      <c r="B527" s="1">
        <v>8</v>
      </c>
      <c r="C527" s="1">
        <v>0</v>
      </c>
      <c r="D527" s="1">
        <v>8</v>
      </c>
    </row>
    <row r="528" spans="1:4" x14ac:dyDescent="0.5">
      <c r="A528" s="1" t="s">
        <v>571</v>
      </c>
      <c r="B528" s="1">
        <v>89</v>
      </c>
      <c r="C528" s="1">
        <v>0</v>
      </c>
      <c r="D528" s="1">
        <v>89</v>
      </c>
    </row>
    <row r="529" spans="1:4" x14ac:dyDescent="0.5">
      <c r="A529" s="1" t="s">
        <v>682</v>
      </c>
      <c r="B529" s="1">
        <v>62477</v>
      </c>
      <c r="C529" s="1">
        <v>311</v>
      </c>
      <c r="D529" s="1">
        <v>62788</v>
      </c>
    </row>
    <row r="530" spans="1:4" x14ac:dyDescent="0.5">
      <c r="A530" s="1" t="s">
        <v>775</v>
      </c>
      <c r="B530" s="1">
        <v>165</v>
      </c>
      <c r="C530" s="1">
        <v>0</v>
      </c>
      <c r="D530" s="1">
        <v>165</v>
      </c>
    </row>
    <row r="531" spans="1:4" x14ac:dyDescent="0.5">
      <c r="A531" s="1" t="s">
        <v>525</v>
      </c>
      <c r="B531" s="1">
        <v>220</v>
      </c>
      <c r="C531" s="1">
        <v>1</v>
      </c>
      <c r="D531" s="1">
        <v>221</v>
      </c>
    </row>
    <row r="532" spans="1:4" x14ac:dyDescent="0.5">
      <c r="A532" s="1" t="s">
        <v>467</v>
      </c>
      <c r="B532" s="1">
        <v>16</v>
      </c>
      <c r="C532" s="1">
        <v>1</v>
      </c>
      <c r="D532" s="1">
        <v>17</v>
      </c>
    </row>
    <row r="533" spans="1:4" x14ac:dyDescent="0.5">
      <c r="A533" s="1" t="s">
        <v>77</v>
      </c>
      <c r="B533" s="1">
        <v>35</v>
      </c>
      <c r="C533" s="1">
        <v>0</v>
      </c>
      <c r="D533" s="1">
        <v>35</v>
      </c>
    </row>
    <row r="534" spans="1:4" x14ac:dyDescent="0.5">
      <c r="A534" s="1" t="s">
        <v>129</v>
      </c>
      <c r="B534" s="1">
        <v>61</v>
      </c>
      <c r="C534" s="1">
        <v>0</v>
      </c>
      <c r="D534" s="1">
        <v>61</v>
      </c>
    </row>
    <row r="535" spans="1:4" x14ac:dyDescent="0.5">
      <c r="A535" s="1" t="s">
        <v>25</v>
      </c>
      <c r="B535" s="1">
        <v>120813</v>
      </c>
      <c r="C535" s="1">
        <v>368</v>
      </c>
      <c r="D535" s="1">
        <v>121181</v>
      </c>
    </row>
    <row r="536" spans="1:4" x14ac:dyDescent="0.5">
      <c r="A536" s="1" t="s">
        <v>710</v>
      </c>
      <c r="B536" s="1">
        <v>34</v>
      </c>
      <c r="C536" s="1">
        <v>1</v>
      </c>
      <c r="D536" s="1">
        <v>35</v>
      </c>
    </row>
    <row r="537" spans="1:4" x14ac:dyDescent="0.5">
      <c r="A537" s="1" t="s">
        <v>78</v>
      </c>
      <c r="B537" s="1">
        <v>133</v>
      </c>
      <c r="C537" s="1">
        <v>0</v>
      </c>
      <c r="D537" s="1">
        <v>133</v>
      </c>
    </row>
    <row r="538" spans="1:4" x14ac:dyDescent="0.5">
      <c r="A538" s="1" t="s">
        <v>130</v>
      </c>
      <c r="B538" s="1">
        <v>84</v>
      </c>
      <c r="C538" s="1">
        <v>0</v>
      </c>
      <c r="D538" s="1">
        <v>84</v>
      </c>
    </row>
    <row r="539" spans="1:4" x14ac:dyDescent="0.5">
      <c r="A539" s="1" t="s">
        <v>460</v>
      </c>
      <c r="B539" s="1">
        <v>30</v>
      </c>
      <c r="C539" s="1">
        <v>0</v>
      </c>
      <c r="D539" s="1">
        <v>30</v>
      </c>
    </row>
    <row r="540" spans="1:4" x14ac:dyDescent="0.5">
      <c r="A540" s="1" t="s">
        <v>461</v>
      </c>
      <c r="B540" s="1">
        <v>53</v>
      </c>
      <c r="C540" s="1">
        <v>0</v>
      </c>
      <c r="D540" s="1">
        <v>53</v>
      </c>
    </row>
    <row r="541" spans="1:4" x14ac:dyDescent="0.5">
      <c r="A541" s="1" t="s">
        <v>501</v>
      </c>
      <c r="B541" s="1">
        <v>35</v>
      </c>
      <c r="C541" s="1">
        <v>0</v>
      </c>
      <c r="D541" s="1">
        <v>35</v>
      </c>
    </row>
    <row r="542" spans="1:4" x14ac:dyDescent="0.5">
      <c r="A542" s="1" t="s">
        <v>619</v>
      </c>
      <c r="B542" s="1">
        <v>54936</v>
      </c>
      <c r="C542" s="1">
        <v>194</v>
      </c>
      <c r="D542" s="1">
        <v>55130</v>
      </c>
    </row>
    <row r="543" spans="1:4" x14ac:dyDescent="0.5">
      <c r="A543" s="1" t="s">
        <v>698</v>
      </c>
      <c r="B543" s="1">
        <v>163</v>
      </c>
      <c r="C543" s="1">
        <v>0</v>
      </c>
      <c r="D543" s="1">
        <v>163</v>
      </c>
    </row>
    <row r="544" spans="1:4" x14ac:dyDescent="0.5">
      <c r="A544" s="1" t="s">
        <v>204</v>
      </c>
      <c r="B544" s="1">
        <v>6867</v>
      </c>
      <c r="C544" s="1">
        <v>30</v>
      </c>
      <c r="D544" s="1">
        <v>6897</v>
      </c>
    </row>
    <row r="545" spans="1:4" x14ac:dyDescent="0.5">
      <c r="A545" s="1" t="s">
        <v>244</v>
      </c>
      <c r="B545" s="1">
        <v>22359</v>
      </c>
      <c r="C545" s="1">
        <v>62</v>
      </c>
      <c r="D545" s="1">
        <v>22421</v>
      </c>
    </row>
    <row r="546" spans="1:4" x14ac:dyDescent="0.5">
      <c r="A546" s="1" t="s">
        <v>599</v>
      </c>
      <c r="B546" s="1">
        <v>755</v>
      </c>
      <c r="C546" s="1">
        <v>1</v>
      </c>
      <c r="D546" s="1">
        <v>756</v>
      </c>
    </row>
    <row r="547" spans="1:4" x14ac:dyDescent="0.5">
      <c r="A547" s="1" t="s">
        <v>558</v>
      </c>
      <c r="B547" s="1">
        <v>171</v>
      </c>
      <c r="C547" s="1">
        <v>0</v>
      </c>
      <c r="D547" s="1">
        <v>171</v>
      </c>
    </row>
    <row r="548" spans="1:4" x14ac:dyDescent="0.5">
      <c r="A548" s="1" t="s">
        <v>194</v>
      </c>
      <c r="B548" s="1">
        <v>5736</v>
      </c>
      <c r="C548" s="1">
        <v>48</v>
      </c>
      <c r="D548" s="1">
        <v>5784</v>
      </c>
    </row>
    <row r="549" spans="1:4" x14ac:dyDescent="0.5">
      <c r="A549" s="1" t="s">
        <v>487</v>
      </c>
      <c r="B549" s="1">
        <v>39216</v>
      </c>
      <c r="C549" s="1">
        <v>348</v>
      </c>
      <c r="D549" s="1">
        <v>39564</v>
      </c>
    </row>
    <row r="550" spans="1:4" x14ac:dyDescent="0.5">
      <c r="A550" s="1" t="s">
        <v>552</v>
      </c>
      <c r="B550" s="1">
        <v>61</v>
      </c>
      <c r="C550" s="1">
        <v>0</v>
      </c>
      <c r="D550" s="1">
        <v>61</v>
      </c>
    </row>
    <row r="551" spans="1:4" x14ac:dyDescent="0.5">
      <c r="A551" s="1" t="s">
        <v>195</v>
      </c>
      <c r="B551" s="1">
        <v>35775</v>
      </c>
      <c r="C551" s="1">
        <v>96</v>
      </c>
      <c r="D551" s="1">
        <v>35871</v>
      </c>
    </row>
    <row r="552" spans="1:4" x14ac:dyDescent="0.5">
      <c r="A552" s="1" t="s">
        <v>556</v>
      </c>
      <c r="B552" s="1">
        <v>46231</v>
      </c>
      <c r="C552" s="1">
        <v>175</v>
      </c>
      <c r="D552" s="1">
        <v>46406</v>
      </c>
    </row>
    <row r="553" spans="1:4" x14ac:dyDescent="0.5">
      <c r="A553" s="1" t="s">
        <v>192</v>
      </c>
      <c r="B553" s="1">
        <v>356</v>
      </c>
      <c r="C553" s="1">
        <v>2</v>
      </c>
      <c r="D553" s="1">
        <v>358</v>
      </c>
    </row>
    <row r="554" spans="1:4" x14ac:dyDescent="0.5">
      <c r="A554" s="1" t="s">
        <v>774</v>
      </c>
      <c r="B554" s="1">
        <v>128</v>
      </c>
      <c r="C554" s="1">
        <v>0</v>
      </c>
      <c r="D554" s="1">
        <v>128</v>
      </c>
    </row>
    <row r="555" spans="1:4" x14ac:dyDescent="0.5">
      <c r="A555" s="1" t="s">
        <v>537</v>
      </c>
      <c r="B555" s="1">
        <v>390</v>
      </c>
      <c r="C555" s="1">
        <v>7</v>
      </c>
      <c r="D555" s="1">
        <v>397</v>
      </c>
    </row>
    <row r="556" spans="1:4" x14ac:dyDescent="0.5">
      <c r="A556" s="1" t="s">
        <v>718</v>
      </c>
      <c r="B556" s="1">
        <v>177</v>
      </c>
      <c r="C556" s="1">
        <v>0</v>
      </c>
      <c r="D556" s="1">
        <v>177</v>
      </c>
    </row>
    <row r="557" spans="1:4" x14ac:dyDescent="0.5">
      <c r="A557" s="1" t="s">
        <v>228</v>
      </c>
      <c r="B557" s="1">
        <v>708</v>
      </c>
      <c r="C557" s="1">
        <v>1</v>
      </c>
      <c r="D557" s="1">
        <v>709</v>
      </c>
    </row>
    <row r="558" spans="1:4" x14ac:dyDescent="0.5">
      <c r="A558" s="1" t="s">
        <v>42</v>
      </c>
      <c r="B558" s="1">
        <v>99943</v>
      </c>
      <c r="C558" s="1">
        <v>637</v>
      </c>
      <c r="D558" s="1">
        <v>100580</v>
      </c>
    </row>
    <row r="559" spans="1:4" x14ac:dyDescent="0.5">
      <c r="A559" s="1" t="s">
        <v>11</v>
      </c>
      <c r="B559" s="1">
        <v>78395</v>
      </c>
      <c r="C559" s="1">
        <v>224</v>
      </c>
      <c r="D559" s="1">
        <v>78619</v>
      </c>
    </row>
    <row r="560" spans="1:4" x14ac:dyDescent="0.5">
      <c r="A560" s="1" t="s">
        <v>357</v>
      </c>
      <c r="B560" s="1">
        <v>420</v>
      </c>
      <c r="C560" s="1">
        <v>0</v>
      </c>
      <c r="D560" s="1">
        <v>420</v>
      </c>
    </row>
    <row r="561" spans="1:4" x14ac:dyDescent="0.5">
      <c r="A561" s="1" t="s">
        <v>513</v>
      </c>
      <c r="B561" s="1">
        <v>140</v>
      </c>
      <c r="C561" s="1">
        <v>0</v>
      </c>
      <c r="D561" s="1">
        <v>140</v>
      </c>
    </row>
    <row r="562" spans="1:4" x14ac:dyDescent="0.5">
      <c r="A562" s="1" t="s">
        <v>305</v>
      </c>
      <c r="B562" s="1">
        <v>286</v>
      </c>
      <c r="C562" s="1">
        <v>2</v>
      </c>
      <c r="D562" s="1">
        <v>288</v>
      </c>
    </row>
    <row r="563" spans="1:4" x14ac:dyDescent="0.5">
      <c r="A563" s="1" t="s">
        <v>212</v>
      </c>
      <c r="B563" s="1">
        <v>63</v>
      </c>
      <c r="C563" s="1">
        <v>0</v>
      </c>
      <c r="D563" s="1">
        <v>63</v>
      </c>
    </row>
    <row r="564" spans="1:4" x14ac:dyDescent="0.5">
      <c r="A564" s="1" t="s">
        <v>612</v>
      </c>
      <c r="B564" s="1">
        <v>270</v>
      </c>
      <c r="C564" s="1">
        <v>0</v>
      </c>
      <c r="D564" s="1">
        <v>270</v>
      </c>
    </row>
    <row r="565" spans="1:4" x14ac:dyDescent="0.5">
      <c r="A565" s="1" t="s">
        <v>358</v>
      </c>
      <c r="B565" s="1">
        <v>685</v>
      </c>
      <c r="C565" s="1">
        <v>2</v>
      </c>
      <c r="D565" s="1">
        <v>687</v>
      </c>
    </row>
    <row r="566" spans="1:4" x14ac:dyDescent="0.5">
      <c r="A566" s="1" t="s">
        <v>610</v>
      </c>
      <c r="B566" s="1">
        <v>287</v>
      </c>
      <c r="C566" s="1">
        <v>3</v>
      </c>
      <c r="D566" s="1">
        <v>290</v>
      </c>
    </row>
    <row r="567" spans="1:4" x14ac:dyDescent="0.5">
      <c r="A567" s="1" t="s">
        <v>608</v>
      </c>
      <c r="B567" s="1">
        <v>39498</v>
      </c>
      <c r="C567" s="1">
        <v>60</v>
      </c>
      <c r="D567" s="1">
        <v>39558</v>
      </c>
    </row>
    <row r="568" spans="1:4" x14ac:dyDescent="0.5">
      <c r="A568" s="1" t="s">
        <v>555</v>
      </c>
      <c r="B568" s="1">
        <v>49370</v>
      </c>
      <c r="C568" s="1">
        <v>224</v>
      </c>
      <c r="D568" s="1">
        <v>49594</v>
      </c>
    </row>
    <row r="569" spans="1:4" x14ac:dyDescent="0.5">
      <c r="A569" s="1" t="s">
        <v>272</v>
      </c>
      <c r="B569" s="1">
        <v>116</v>
      </c>
      <c r="C569" s="1">
        <v>0</v>
      </c>
      <c r="D569" s="1">
        <v>116</v>
      </c>
    </row>
    <row r="570" spans="1:4" x14ac:dyDescent="0.5">
      <c r="A570" s="1" t="s">
        <v>740</v>
      </c>
      <c r="B570" s="1">
        <v>89</v>
      </c>
      <c r="C570" s="1">
        <v>0</v>
      </c>
      <c r="D570" s="1">
        <v>89</v>
      </c>
    </row>
    <row r="571" spans="1:4" x14ac:dyDescent="0.5">
      <c r="A571" s="1" t="s">
        <v>438</v>
      </c>
      <c r="B571" s="1">
        <v>147</v>
      </c>
      <c r="C571" s="1">
        <v>3</v>
      </c>
      <c r="D571" s="1">
        <v>150</v>
      </c>
    </row>
    <row r="572" spans="1:4" x14ac:dyDescent="0.5">
      <c r="A572" s="1" t="s">
        <v>68</v>
      </c>
      <c r="B572" s="1">
        <v>5442</v>
      </c>
      <c r="C572" s="1">
        <v>18</v>
      </c>
      <c r="D572" s="1">
        <v>5460</v>
      </c>
    </row>
    <row r="573" spans="1:4" x14ac:dyDescent="0.5">
      <c r="A573" s="1" t="s">
        <v>281</v>
      </c>
      <c r="B573" s="1">
        <v>45827</v>
      </c>
      <c r="C573" s="1">
        <v>81</v>
      </c>
      <c r="D573" s="1">
        <v>45908</v>
      </c>
    </row>
    <row r="574" spans="1:4" x14ac:dyDescent="0.5">
      <c r="A574" s="1" t="s">
        <v>733</v>
      </c>
      <c r="B574" s="1">
        <v>84</v>
      </c>
      <c r="C574" s="1">
        <v>0</v>
      </c>
      <c r="D574" s="1">
        <v>84</v>
      </c>
    </row>
    <row r="575" spans="1:4" x14ac:dyDescent="0.5">
      <c r="A575" s="1" t="s">
        <v>324</v>
      </c>
      <c r="B575" s="1">
        <v>40233</v>
      </c>
      <c r="C575" s="1">
        <v>245</v>
      </c>
      <c r="D575" s="1">
        <v>40478</v>
      </c>
    </row>
    <row r="576" spans="1:4" x14ac:dyDescent="0.5">
      <c r="A576" s="1" t="s">
        <v>326</v>
      </c>
      <c r="B576" s="1">
        <v>145</v>
      </c>
      <c r="C576" s="1">
        <v>0</v>
      </c>
      <c r="D576" s="1">
        <v>145</v>
      </c>
    </row>
    <row r="577" spans="1:4" x14ac:dyDescent="0.5">
      <c r="A577" s="1" t="s">
        <v>368</v>
      </c>
      <c r="B577" s="1">
        <v>168</v>
      </c>
      <c r="C577" s="1">
        <v>0</v>
      </c>
      <c r="D577" s="1">
        <v>168</v>
      </c>
    </row>
    <row r="578" spans="1:4" x14ac:dyDescent="0.5">
      <c r="A578" s="1" t="s">
        <v>186</v>
      </c>
      <c r="B578" s="1">
        <v>410</v>
      </c>
      <c r="C578" s="1">
        <v>1</v>
      </c>
      <c r="D578" s="1">
        <v>411</v>
      </c>
    </row>
    <row r="579" spans="1:4" x14ac:dyDescent="0.5">
      <c r="A579" s="1" t="s">
        <v>313</v>
      </c>
      <c r="B579" s="1">
        <v>49608</v>
      </c>
      <c r="C579" s="1">
        <v>571</v>
      </c>
      <c r="D579" s="1">
        <v>50179</v>
      </c>
    </row>
    <row r="580" spans="1:4" x14ac:dyDescent="0.5">
      <c r="A580" s="1" t="s">
        <v>548</v>
      </c>
      <c r="B580" s="1">
        <v>83</v>
      </c>
      <c r="C580" s="1">
        <v>0</v>
      </c>
      <c r="D580" s="1">
        <v>83</v>
      </c>
    </row>
    <row r="581" spans="1:4" x14ac:dyDescent="0.5">
      <c r="A581" s="1" t="s">
        <v>229</v>
      </c>
      <c r="B581" s="1">
        <v>56070</v>
      </c>
      <c r="C581" s="1">
        <v>107</v>
      </c>
      <c r="D581" s="1">
        <v>56177</v>
      </c>
    </row>
    <row r="582" spans="1:4" x14ac:dyDescent="0.5">
      <c r="A582" s="1" t="s">
        <v>421</v>
      </c>
      <c r="B582" s="1">
        <v>91</v>
      </c>
      <c r="C582" s="1">
        <v>1</v>
      </c>
      <c r="D582" s="1">
        <v>92</v>
      </c>
    </row>
    <row r="583" spans="1:4" x14ac:dyDescent="0.5">
      <c r="A583" s="1" t="s">
        <v>488</v>
      </c>
      <c r="B583" s="1">
        <v>37280</v>
      </c>
      <c r="C583" s="1">
        <v>153</v>
      </c>
      <c r="D583" s="1">
        <v>37433</v>
      </c>
    </row>
    <row r="584" spans="1:4" x14ac:dyDescent="0.5">
      <c r="A584" s="1" t="s">
        <v>261</v>
      </c>
      <c r="B584" s="1">
        <v>190</v>
      </c>
      <c r="C584" s="1">
        <v>0</v>
      </c>
      <c r="D584" s="1">
        <v>190</v>
      </c>
    </row>
    <row r="585" spans="1:4" x14ac:dyDescent="0.5">
      <c r="A585" s="1" t="s">
        <v>46</v>
      </c>
      <c r="B585" s="1">
        <v>738</v>
      </c>
      <c r="C585" s="1">
        <v>1</v>
      </c>
      <c r="D585" s="1">
        <v>739</v>
      </c>
    </row>
    <row r="586" spans="1:4" x14ac:dyDescent="0.5">
      <c r="A586" s="1" t="s">
        <v>205</v>
      </c>
      <c r="B586" s="1">
        <v>180</v>
      </c>
      <c r="C586" s="1">
        <v>1</v>
      </c>
      <c r="D586" s="1">
        <v>181</v>
      </c>
    </row>
    <row r="587" spans="1:4" x14ac:dyDescent="0.5">
      <c r="A587" s="1" t="s">
        <v>708</v>
      </c>
      <c r="B587" s="1">
        <v>30</v>
      </c>
      <c r="C587" s="1">
        <v>0</v>
      </c>
      <c r="D587" s="1">
        <v>30</v>
      </c>
    </row>
    <row r="588" spans="1:4" x14ac:dyDescent="0.5">
      <c r="A588" s="1" t="s">
        <v>142</v>
      </c>
      <c r="B588" s="1">
        <v>212</v>
      </c>
      <c r="C588" s="1">
        <v>0</v>
      </c>
      <c r="D588" s="1">
        <v>212</v>
      </c>
    </row>
    <row r="589" spans="1:4" x14ac:dyDescent="0.5">
      <c r="A589" s="1" t="s">
        <v>549</v>
      </c>
      <c r="B589" s="1">
        <v>143</v>
      </c>
      <c r="C589" s="1">
        <v>0</v>
      </c>
      <c r="D589" s="1">
        <v>143</v>
      </c>
    </row>
    <row r="590" spans="1:4" x14ac:dyDescent="0.5">
      <c r="A590" s="1" t="s">
        <v>122</v>
      </c>
      <c r="B590" s="1">
        <v>544</v>
      </c>
      <c r="C590" s="1">
        <v>4</v>
      </c>
      <c r="D590" s="1">
        <v>548</v>
      </c>
    </row>
    <row r="591" spans="1:4" x14ac:dyDescent="0.5">
      <c r="A591" s="1" t="s">
        <v>720</v>
      </c>
      <c r="B591" s="1">
        <v>50</v>
      </c>
      <c r="C591" s="1">
        <v>0</v>
      </c>
      <c r="D591" s="1">
        <v>50</v>
      </c>
    </row>
    <row r="592" spans="1:4" x14ac:dyDescent="0.5">
      <c r="A592" s="1" t="s">
        <v>177</v>
      </c>
      <c r="B592" s="1">
        <v>3721</v>
      </c>
      <c r="C592" s="1">
        <v>44</v>
      </c>
      <c r="D592" s="1">
        <v>3765</v>
      </c>
    </row>
    <row r="593" spans="1:4" x14ac:dyDescent="0.5">
      <c r="A593" s="1" t="s">
        <v>389</v>
      </c>
      <c r="B593" s="1">
        <v>117042</v>
      </c>
      <c r="C593" s="1">
        <v>530</v>
      </c>
      <c r="D593" s="1">
        <v>117572</v>
      </c>
    </row>
    <row r="594" spans="1:4" x14ac:dyDescent="0.5">
      <c r="A594" s="1" t="s">
        <v>640</v>
      </c>
      <c r="B594" s="1">
        <v>4277</v>
      </c>
      <c r="C594" s="1">
        <v>39</v>
      </c>
      <c r="D594" s="1">
        <v>4316</v>
      </c>
    </row>
    <row r="595" spans="1:4" x14ac:dyDescent="0.5">
      <c r="A595" s="1" t="s">
        <v>730</v>
      </c>
      <c r="B595" s="1">
        <v>448</v>
      </c>
      <c r="C595" s="1">
        <v>6</v>
      </c>
      <c r="D595" s="1">
        <v>454</v>
      </c>
    </row>
    <row r="596" spans="1:4" x14ac:dyDescent="0.5">
      <c r="A596" s="1" t="s">
        <v>496</v>
      </c>
      <c r="B596" s="1">
        <v>202</v>
      </c>
      <c r="C596" s="1">
        <v>0</v>
      </c>
      <c r="D596" s="1">
        <v>202</v>
      </c>
    </row>
    <row r="597" spans="1:4" x14ac:dyDescent="0.5">
      <c r="A597" s="1" t="s">
        <v>127</v>
      </c>
      <c r="B597" s="1">
        <v>165</v>
      </c>
      <c r="C597" s="1">
        <v>1</v>
      </c>
      <c r="D597" s="1">
        <v>166</v>
      </c>
    </row>
    <row r="598" spans="1:4" x14ac:dyDescent="0.5">
      <c r="A598" s="1" t="s">
        <v>479</v>
      </c>
      <c r="B598" s="1">
        <v>80</v>
      </c>
      <c r="C598" s="1">
        <v>0</v>
      </c>
      <c r="D598" s="1">
        <v>80</v>
      </c>
    </row>
    <row r="599" spans="1:4" x14ac:dyDescent="0.5">
      <c r="A599" s="1" t="s">
        <v>44</v>
      </c>
      <c r="B599" s="1">
        <v>568</v>
      </c>
      <c r="C599" s="1">
        <v>1</v>
      </c>
      <c r="D599" s="1">
        <v>569</v>
      </c>
    </row>
    <row r="600" spans="1:4" x14ac:dyDescent="0.5">
      <c r="A600" s="1" t="s">
        <v>134</v>
      </c>
      <c r="B600" s="1">
        <v>408</v>
      </c>
      <c r="C600" s="1">
        <v>0</v>
      </c>
      <c r="D600" s="1">
        <v>408</v>
      </c>
    </row>
    <row r="601" spans="1:4" x14ac:dyDescent="0.5">
      <c r="A601" s="1" t="s">
        <v>627</v>
      </c>
      <c r="B601" s="1">
        <v>411</v>
      </c>
      <c r="C601" s="1">
        <v>7</v>
      </c>
      <c r="D601" s="1">
        <v>418</v>
      </c>
    </row>
    <row r="602" spans="1:4" x14ac:dyDescent="0.5">
      <c r="A602" s="1" t="s">
        <v>412</v>
      </c>
      <c r="B602" s="1">
        <v>53462</v>
      </c>
      <c r="C602" s="1">
        <v>213</v>
      </c>
      <c r="D602" s="1">
        <v>53675</v>
      </c>
    </row>
    <row r="603" spans="1:4" x14ac:dyDescent="0.5">
      <c r="A603" s="1" t="s">
        <v>114</v>
      </c>
      <c r="B603" s="1">
        <v>18702</v>
      </c>
      <c r="C603" s="1">
        <v>83</v>
      </c>
      <c r="D603" s="1">
        <v>18785</v>
      </c>
    </row>
    <row r="604" spans="1:4" x14ac:dyDescent="0.5">
      <c r="A604" s="1" t="s">
        <v>50</v>
      </c>
      <c r="B604" s="1">
        <v>976</v>
      </c>
      <c r="C604" s="1">
        <v>9</v>
      </c>
      <c r="D604" s="1">
        <v>985</v>
      </c>
    </row>
    <row r="605" spans="1:4" x14ac:dyDescent="0.5">
      <c r="A605" s="1" t="s">
        <v>628</v>
      </c>
      <c r="B605" s="1">
        <v>166</v>
      </c>
      <c r="C605" s="1">
        <v>1</v>
      </c>
      <c r="D605" s="1">
        <v>167</v>
      </c>
    </row>
    <row r="606" spans="1:4" x14ac:dyDescent="0.5">
      <c r="A606" s="1" t="s">
        <v>709</v>
      </c>
      <c r="B606" s="1">
        <v>172</v>
      </c>
      <c r="C606" s="1">
        <v>2</v>
      </c>
      <c r="D606" s="1">
        <v>174</v>
      </c>
    </row>
    <row r="607" spans="1:4" x14ac:dyDescent="0.5">
      <c r="A607" s="1" t="s">
        <v>745</v>
      </c>
      <c r="B607" s="1">
        <v>80086</v>
      </c>
      <c r="C607" s="1">
        <v>418</v>
      </c>
      <c r="D607" s="1">
        <v>80504</v>
      </c>
    </row>
    <row r="608" spans="1:4" x14ac:dyDescent="0.5">
      <c r="A608" s="1" t="s">
        <v>206</v>
      </c>
      <c r="B608" s="1">
        <v>114</v>
      </c>
      <c r="C608" s="1">
        <v>1</v>
      </c>
      <c r="D608" s="1">
        <v>115</v>
      </c>
    </row>
    <row r="609" spans="1:4" x14ac:dyDescent="0.5">
      <c r="A609" s="1" t="s">
        <v>713</v>
      </c>
      <c r="B609" s="1">
        <v>72</v>
      </c>
      <c r="C609" s="1">
        <v>0</v>
      </c>
      <c r="D609" s="1">
        <v>72</v>
      </c>
    </row>
    <row r="610" spans="1:4" x14ac:dyDescent="0.5">
      <c r="A610" s="1" t="s">
        <v>752</v>
      </c>
      <c r="B610" s="1">
        <v>130</v>
      </c>
      <c r="C610" s="1">
        <v>3</v>
      </c>
      <c r="D610" s="1">
        <v>133</v>
      </c>
    </row>
    <row r="611" spans="1:4" x14ac:dyDescent="0.5">
      <c r="A611" s="1" t="s">
        <v>702</v>
      </c>
      <c r="B611" s="1">
        <v>3604</v>
      </c>
      <c r="C611" s="1">
        <v>35</v>
      </c>
      <c r="D611" s="1">
        <v>3639</v>
      </c>
    </row>
    <row r="612" spans="1:4" x14ac:dyDescent="0.5">
      <c r="A612" s="1" t="s">
        <v>314</v>
      </c>
      <c r="B612" s="1">
        <v>43262</v>
      </c>
      <c r="C612" s="1">
        <v>285</v>
      </c>
      <c r="D612" s="1">
        <v>43547</v>
      </c>
    </row>
    <row r="613" spans="1:4" x14ac:dyDescent="0.5">
      <c r="A613" s="1" t="s">
        <v>49</v>
      </c>
      <c r="B613" s="1">
        <v>54602</v>
      </c>
      <c r="C613" s="1">
        <v>171</v>
      </c>
      <c r="D613" s="1">
        <v>54773</v>
      </c>
    </row>
    <row r="614" spans="1:4" x14ac:dyDescent="0.5">
      <c r="A614" s="1" t="s">
        <v>51</v>
      </c>
      <c r="B614" s="1">
        <v>55626</v>
      </c>
      <c r="C614" s="1">
        <v>315</v>
      </c>
      <c r="D614" s="1">
        <v>55941</v>
      </c>
    </row>
    <row r="615" spans="1:4" x14ac:dyDescent="0.5">
      <c r="A615" s="1" t="s">
        <v>101</v>
      </c>
      <c r="B615" s="1">
        <v>5216</v>
      </c>
      <c r="C615" s="1">
        <v>42</v>
      </c>
      <c r="D615" s="1">
        <v>5258</v>
      </c>
    </row>
    <row r="616" spans="1:4" x14ac:dyDescent="0.5">
      <c r="A616" s="1" t="s">
        <v>403</v>
      </c>
      <c r="B616" s="1">
        <v>2839</v>
      </c>
      <c r="C616" s="1">
        <v>63</v>
      </c>
      <c r="D616" s="1">
        <v>2902</v>
      </c>
    </row>
    <row r="617" spans="1:4" x14ac:dyDescent="0.5">
      <c r="A617" s="1" t="s">
        <v>726</v>
      </c>
      <c r="B617" s="1">
        <v>46</v>
      </c>
      <c r="C617" s="1">
        <v>0</v>
      </c>
      <c r="D617" s="1">
        <v>46</v>
      </c>
    </row>
    <row r="618" spans="1:4" x14ac:dyDescent="0.5">
      <c r="A618" s="1" t="s">
        <v>197</v>
      </c>
      <c r="B618" s="1">
        <v>115</v>
      </c>
      <c r="C618" s="1">
        <v>0</v>
      </c>
      <c r="D618" s="1">
        <v>115</v>
      </c>
    </row>
    <row r="619" spans="1:4" x14ac:dyDescent="0.5">
      <c r="A619" s="1" t="s">
        <v>563</v>
      </c>
      <c r="B619" s="1">
        <v>193</v>
      </c>
      <c r="C619" s="1">
        <v>0</v>
      </c>
      <c r="D619" s="1">
        <v>193</v>
      </c>
    </row>
    <row r="620" spans="1:4" x14ac:dyDescent="0.5">
      <c r="A620" s="1" t="s">
        <v>52</v>
      </c>
      <c r="B620" s="1">
        <v>72189</v>
      </c>
      <c r="C620" s="1">
        <v>677</v>
      </c>
      <c r="D620" s="1">
        <v>72866</v>
      </c>
    </row>
    <row r="621" spans="1:4" x14ac:dyDescent="0.5">
      <c r="A621" s="1" t="s">
        <v>344</v>
      </c>
      <c r="B621" s="1">
        <v>60</v>
      </c>
      <c r="C621" s="1">
        <v>0</v>
      </c>
      <c r="D621" s="1">
        <v>60</v>
      </c>
    </row>
    <row r="622" spans="1:4" x14ac:dyDescent="0.5">
      <c r="A622" s="1" t="s">
        <v>469</v>
      </c>
      <c r="B622" s="1">
        <v>38675</v>
      </c>
      <c r="C622" s="1">
        <v>184</v>
      </c>
      <c r="D622" s="1">
        <v>38859</v>
      </c>
    </row>
    <row r="623" spans="1:4" x14ac:dyDescent="0.5">
      <c r="A623" s="1" t="s">
        <v>250</v>
      </c>
      <c r="B623" s="1">
        <v>129</v>
      </c>
      <c r="C623" s="1">
        <v>1</v>
      </c>
      <c r="D623" s="1">
        <v>130</v>
      </c>
    </row>
    <row r="624" spans="1:4" x14ac:dyDescent="0.5">
      <c r="A624" s="1" t="s">
        <v>675</v>
      </c>
      <c r="B624" s="1">
        <v>235</v>
      </c>
      <c r="C624" s="1">
        <v>0</v>
      </c>
      <c r="D624" s="1">
        <v>235</v>
      </c>
    </row>
    <row r="625" spans="1:4" x14ac:dyDescent="0.5">
      <c r="A625" s="1" t="s">
        <v>201</v>
      </c>
      <c r="B625" s="1">
        <v>58836</v>
      </c>
      <c r="C625" s="1">
        <v>237</v>
      </c>
      <c r="D625" s="1">
        <v>59073</v>
      </c>
    </row>
    <row r="626" spans="1:4" x14ac:dyDescent="0.5">
      <c r="A626" s="1" t="s">
        <v>441</v>
      </c>
      <c r="B626" s="1">
        <v>143</v>
      </c>
      <c r="C626" s="1">
        <v>1</v>
      </c>
      <c r="D626" s="1">
        <v>144</v>
      </c>
    </row>
    <row r="627" spans="1:4" x14ac:dyDescent="0.5">
      <c r="A627" s="1" t="s">
        <v>435</v>
      </c>
      <c r="B627" s="1">
        <v>46391</v>
      </c>
      <c r="C627" s="1">
        <v>280</v>
      </c>
      <c r="D627" s="1">
        <v>46671</v>
      </c>
    </row>
    <row r="628" spans="1:4" x14ac:dyDescent="0.5">
      <c r="A628" s="1" t="s">
        <v>350</v>
      </c>
      <c r="B628" s="1">
        <v>443</v>
      </c>
      <c r="C628" s="1">
        <v>0</v>
      </c>
      <c r="D628" s="1">
        <v>443</v>
      </c>
    </row>
    <row r="629" spans="1:4" x14ac:dyDescent="0.5">
      <c r="A629" s="1" t="s">
        <v>232</v>
      </c>
      <c r="B629" s="1">
        <v>49</v>
      </c>
      <c r="C629" s="1">
        <v>1</v>
      </c>
      <c r="D629" s="1">
        <v>50</v>
      </c>
    </row>
    <row r="630" spans="1:4" x14ac:dyDescent="0.5">
      <c r="A630" s="1" t="s">
        <v>692</v>
      </c>
      <c r="B630" s="1">
        <v>66186</v>
      </c>
      <c r="C630" s="1">
        <v>167</v>
      </c>
      <c r="D630" s="1">
        <v>66353</v>
      </c>
    </row>
    <row r="631" spans="1:4" x14ac:dyDescent="0.5">
      <c r="A631" s="1" t="s">
        <v>618</v>
      </c>
      <c r="B631" s="1">
        <v>1677</v>
      </c>
      <c r="C631" s="1">
        <v>4</v>
      </c>
      <c r="D631" s="1">
        <v>1681</v>
      </c>
    </row>
    <row r="632" spans="1:4" x14ac:dyDescent="0.5">
      <c r="A632" s="1" t="s">
        <v>670</v>
      </c>
      <c r="B632" s="1">
        <v>96</v>
      </c>
      <c r="C632" s="1">
        <v>0</v>
      </c>
      <c r="D632" s="1">
        <v>96</v>
      </c>
    </row>
    <row r="633" spans="1:4" x14ac:dyDescent="0.5">
      <c r="A633" s="1" t="s">
        <v>110</v>
      </c>
      <c r="B633" s="1">
        <v>167</v>
      </c>
      <c r="C633" s="1">
        <v>0</v>
      </c>
      <c r="D633" s="1">
        <v>167</v>
      </c>
    </row>
    <row r="634" spans="1:4" x14ac:dyDescent="0.5">
      <c r="A634" s="1" t="s">
        <v>83</v>
      </c>
      <c r="B634" s="1">
        <v>116</v>
      </c>
      <c r="C634" s="1">
        <v>0</v>
      </c>
      <c r="D634" s="1">
        <v>116</v>
      </c>
    </row>
    <row r="635" spans="1:4" x14ac:dyDescent="0.5">
      <c r="A635" s="1" t="s">
        <v>196</v>
      </c>
      <c r="B635" s="1">
        <v>216</v>
      </c>
      <c r="C635" s="1">
        <v>0</v>
      </c>
      <c r="D635" s="1">
        <v>216</v>
      </c>
    </row>
    <row r="636" spans="1:4" x14ac:dyDescent="0.5">
      <c r="A636" s="1" t="s">
        <v>40</v>
      </c>
      <c r="B636" s="1">
        <v>589</v>
      </c>
      <c r="C636" s="1">
        <v>0</v>
      </c>
      <c r="D636" s="1">
        <v>589</v>
      </c>
    </row>
    <row r="637" spans="1:4" x14ac:dyDescent="0.5">
      <c r="A637" s="1" t="s">
        <v>285</v>
      </c>
      <c r="B637" s="1">
        <v>63</v>
      </c>
      <c r="C637" s="1">
        <v>0</v>
      </c>
      <c r="D637" s="1">
        <v>63</v>
      </c>
    </row>
    <row r="638" spans="1:4" x14ac:dyDescent="0.5">
      <c r="A638" s="1" t="s">
        <v>512</v>
      </c>
      <c r="B638" s="1">
        <v>104</v>
      </c>
      <c r="C638" s="1">
        <v>0</v>
      </c>
      <c r="D638" s="1">
        <v>104</v>
      </c>
    </row>
    <row r="639" spans="1:4" x14ac:dyDescent="0.5">
      <c r="A639" s="1" t="s">
        <v>176</v>
      </c>
      <c r="B639" s="1">
        <v>69890</v>
      </c>
      <c r="C639" s="1">
        <v>475</v>
      </c>
      <c r="D639" s="1">
        <v>70365</v>
      </c>
    </row>
    <row r="640" spans="1:4" x14ac:dyDescent="0.5">
      <c r="A640" s="1" t="s">
        <v>651</v>
      </c>
      <c r="B640" s="1">
        <v>133</v>
      </c>
      <c r="C640" s="1">
        <v>2</v>
      </c>
      <c r="D640" s="1">
        <v>135</v>
      </c>
    </row>
    <row r="641" spans="1:4" x14ac:dyDescent="0.5">
      <c r="A641" s="1" t="s">
        <v>668</v>
      </c>
      <c r="B641" s="1">
        <v>56332</v>
      </c>
      <c r="C641" s="1">
        <v>92</v>
      </c>
      <c r="D641" s="1">
        <v>56424</v>
      </c>
    </row>
    <row r="642" spans="1:4" x14ac:dyDescent="0.5">
      <c r="A642" s="1" t="s">
        <v>19</v>
      </c>
      <c r="B642" s="1">
        <v>300</v>
      </c>
      <c r="C642" s="1">
        <v>1</v>
      </c>
      <c r="D642" s="1">
        <v>301</v>
      </c>
    </row>
    <row r="643" spans="1:4" x14ac:dyDescent="0.5">
      <c r="A643" s="1" t="s">
        <v>712</v>
      </c>
      <c r="B643" s="1">
        <v>548</v>
      </c>
      <c r="C643" s="1">
        <v>2</v>
      </c>
      <c r="D643" s="1">
        <v>550</v>
      </c>
    </row>
    <row r="644" spans="1:4" x14ac:dyDescent="0.5">
      <c r="A644" s="1" t="s">
        <v>655</v>
      </c>
      <c r="B644" s="1">
        <v>69</v>
      </c>
      <c r="C644" s="1">
        <v>0</v>
      </c>
      <c r="D644" s="1">
        <v>69</v>
      </c>
    </row>
    <row r="645" spans="1:4" x14ac:dyDescent="0.5">
      <c r="A645" s="1" t="s">
        <v>688</v>
      </c>
      <c r="B645" s="1">
        <v>577</v>
      </c>
      <c r="C645" s="1">
        <v>2</v>
      </c>
      <c r="D645" s="1">
        <v>579</v>
      </c>
    </row>
    <row r="646" spans="1:4" x14ac:dyDescent="0.5">
      <c r="A646" s="1" t="s">
        <v>375</v>
      </c>
      <c r="B646" s="1">
        <v>61136</v>
      </c>
      <c r="C646" s="1">
        <v>172</v>
      </c>
      <c r="D646" s="1">
        <v>61308</v>
      </c>
    </row>
    <row r="647" spans="1:4" x14ac:dyDescent="0.5">
      <c r="A647" s="1" t="s">
        <v>437</v>
      </c>
      <c r="B647" s="1">
        <v>3995</v>
      </c>
      <c r="C647" s="1">
        <v>20</v>
      </c>
      <c r="D647" s="1">
        <v>4015</v>
      </c>
    </row>
    <row r="648" spans="1:4" x14ac:dyDescent="0.5">
      <c r="A648" s="1" t="s">
        <v>672</v>
      </c>
      <c r="B648" s="1">
        <v>191</v>
      </c>
      <c r="C648" s="1">
        <v>0</v>
      </c>
      <c r="D648" s="1">
        <v>191</v>
      </c>
    </row>
    <row r="649" spans="1:4" x14ac:dyDescent="0.5">
      <c r="A649" s="1" t="s">
        <v>397</v>
      </c>
      <c r="B649" s="1">
        <v>156</v>
      </c>
      <c r="C649" s="1">
        <v>1</v>
      </c>
      <c r="D649" s="1">
        <v>157</v>
      </c>
    </row>
    <row r="650" spans="1:4" x14ac:dyDescent="0.5">
      <c r="A650" s="1" t="s">
        <v>444</v>
      </c>
      <c r="B650" s="1">
        <v>142</v>
      </c>
      <c r="C650" s="1">
        <v>0</v>
      </c>
      <c r="D650" s="1">
        <v>142</v>
      </c>
    </row>
    <row r="651" spans="1:4" x14ac:dyDescent="0.5">
      <c r="A651" s="1" t="s">
        <v>574</v>
      </c>
      <c r="B651" s="1">
        <v>2303</v>
      </c>
      <c r="C651" s="1">
        <v>10</v>
      </c>
      <c r="D651" s="1">
        <v>2313</v>
      </c>
    </row>
    <row r="652" spans="1:4" x14ac:dyDescent="0.5">
      <c r="A652" s="1" t="s">
        <v>432</v>
      </c>
      <c r="B652" s="1">
        <v>22140</v>
      </c>
      <c r="C652" s="1">
        <v>51</v>
      </c>
      <c r="D652" s="1">
        <v>22191</v>
      </c>
    </row>
    <row r="653" spans="1:4" x14ac:dyDescent="0.5">
      <c r="A653" s="1" t="s">
        <v>762</v>
      </c>
      <c r="B653" s="1">
        <v>191</v>
      </c>
      <c r="C653" s="1">
        <v>1</v>
      </c>
      <c r="D653" s="1">
        <v>192</v>
      </c>
    </row>
    <row r="654" spans="1:4" x14ac:dyDescent="0.5">
      <c r="A654" s="1" t="s">
        <v>111</v>
      </c>
      <c r="B654" s="1">
        <v>117</v>
      </c>
      <c r="C654" s="1">
        <v>0</v>
      </c>
      <c r="D654" s="1">
        <v>117</v>
      </c>
    </row>
    <row r="655" spans="1:4" x14ac:dyDescent="0.5">
      <c r="A655" s="1" t="s">
        <v>286</v>
      </c>
      <c r="B655" s="1">
        <v>70</v>
      </c>
      <c r="C655" s="1">
        <v>0</v>
      </c>
      <c r="D655" s="1">
        <v>70</v>
      </c>
    </row>
    <row r="656" spans="1:4" x14ac:dyDescent="0.5">
      <c r="A656" s="1" t="s">
        <v>310</v>
      </c>
      <c r="B656" s="1">
        <v>84</v>
      </c>
      <c r="C656" s="1">
        <v>0</v>
      </c>
      <c r="D656" s="1">
        <v>84</v>
      </c>
    </row>
    <row r="657" spans="1:4" x14ac:dyDescent="0.5">
      <c r="A657" s="1" t="s">
        <v>781</v>
      </c>
      <c r="B657" s="1">
        <v>173</v>
      </c>
      <c r="C657" s="1">
        <v>0</v>
      </c>
      <c r="D657" s="1">
        <v>173</v>
      </c>
    </row>
    <row r="658" spans="1:4" x14ac:dyDescent="0.5">
      <c r="A658" s="1" t="s">
        <v>75</v>
      </c>
      <c r="B658" s="1">
        <v>27</v>
      </c>
      <c r="C658" s="1">
        <v>0</v>
      </c>
      <c r="D658" s="1">
        <v>27</v>
      </c>
    </row>
    <row r="659" spans="1:4" x14ac:dyDescent="0.5">
      <c r="A659" s="1" t="s">
        <v>495</v>
      </c>
      <c r="B659" s="1">
        <v>3048</v>
      </c>
      <c r="C659" s="1">
        <v>31</v>
      </c>
      <c r="D659" s="1">
        <v>3079</v>
      </c>
    </row>
    <row r="660" spans="1:4" x14ac:dyDescent="0.5">
      <c r="A660" s="1" t="s">
        <v>271</v>
      </c>
      <c r="B660" s="1">
        <v>52153</v>
      </c>
      <c r="C660" s="1">
        <v>144</v>
      </c>
      <c r="D660" s="1">
        <v>52297</v>
      </c>
    </row>
    <row r="661" spans="1:4" x14ac:dyDescent="0.5">
      <c r="A661" s="1" t="s">
        <v>223</v>
      </c>
      <c r="B661" s="1">
        <v>118</v>
      </c>
      <c r="C661" s="1">
        <v>0</v>
      </c>
      <c r="D661" s="1">
        <v>118</v>
      </c>
    </row>
    <row r="662" spans="1:4" x14ac:dyDescent="0.5">
      <c r="A662" s="1" t="s">
        <v>62</v>
      </c>
      <c r="B662" s="1">
        <v>69</v>
      </c>
      <c r="C662" s="1">
        <v>0</v>
      </c>
      <c r="D662" s="1">
        <v>69</v>
      </c>
    </row>
    <row r="663" spans="1:4" x14ac:dyDescent="0.5">
      <c r="A663" s="1" t="s">
        <v>165</v>
      </c>
      <c r="B663" s="1">
        <v>389</v>
      </c>
      <c r="C663" s="1">
        <v>1</v>
      </c>
      <c r="D663" s="1">
        <v>390</v>
      </c>
    </row>
    <row r="664" spans="1:4" x14ac:dyDescent="0.5">
      <c r="A664" s="1" t="s">
        <v>773</v>
      </c>
      <c r="B664" s="1">
        <v>89</v>
      </c>
      <c r="C664" s="1">
        <v>1</v>
      </c>
      <c r="D664" s="1">
        <v>90</v>
      </c>
    </row>
    <row r="665" spans="1:4" x14ac:dyDescent="0.5">
      <c r="A665" s="1" t="s">
        <v>125</v>
      </c>
      <c r="B665" s="1">
        <v>86</v>
      </c>
      <c r="C665" s="1">
        <v>1</v>
      </c>
      <c r="D665" s="1">
        <v>87</v>
      </c>
    </row>
    <row r="666" spans="1:4" x14ac:dyDescent="0.5">
      <c r="A666" s="1" t="s">
        <v>399</v>
      </c>
      <c r="B666" s="1">
        <v>569</v>
      </c>
      <c r="C666" s="1">
        <v>0</v>
      </c>
      <c r="D666" s="1">
        <v>569</v>
      </c>
    </row>
    <row r="667" spans="1:4" x14ac:dyDescent="0.5">
      <c r="A667" s="1" t="s">
        <v>396</v>
      </c>
      <c r="B667" s="1">
        <v>121</v>
      </c>
      <c r="C667" s="1">
        <v>0</v>
      </c>
      <c r="D667" s="1">
        <v>121</v>
      </c>
    </row>
    <row r="668" spans="1:4" x14ac:dyDescent="0.5">
      <c r="A668" s="1" t="s">
        <v>381</v>
      </c>
      <c r="B668" s="1">
        <v>44</v>
      </c>
      <c r="C668" s="1">
        <v>0</v>
      </c>
      <c r="D668" s="1">
        <v>44</v>
      </c>
    </row>
    <row r="669" spans="1:4" x14ac:dyDescent="0.5">
      <c r="A669" s="1" t="s">
        <v>780</v>
      </c>
      <c r="B669" s="1">
        <v>228</v>
      </c>
      <c r="C669" s="1">
        <v>1</v>
      </c>
      <c r="D669" s="1">
        <v>229</v>
      </c>
    </row>
    <row r="670" spans="1:4" x14ac:dyDescent="0.5">
      <c r="A670" s="1" t="s">
        <v>509</v>
      </c>
      <c r="B670" s="1">
        <v>771</v>
      </c>
      <c r="C670" s="1">
        <v>7</v>
      </c>
      <c r="D670" s="1">
        <v>778</v>
      </c>
    </row>
    <row r="671" spans="1:4" x14ac:dyDescent="0.5">
      <c r="A671" s="1" t="s">
        <v>254</v>
      </c>
      <c r="B671" s="1">
        <v>10</v>
      </c>
      <c r="C671" s="1">
        <v>1</v>
      </c>
      <c r="D671" s="1">
        <v>11</v>
      </c>
    </row>
    <row r="672" spans="1:4" x14ac:dyDescent="0.5">
      <c r="A672" s="1" t="s">
        <v>784</v>
      </c>
      <c r="B672" s="1">
        <v>9449675</v>
      </c>
      <c r="C672" s="1">
        <v>38701</v>
      </c>
      <c r="D672" s="1">
        <v>9488376</v>
      </c>
    </row>
  </sheetData>
  <conditionalFormatting pivot="1" sqref="B4:C671">
    <cfRule type="top10" dxfId="316" priority="3" percent="1" rank="10"/>
  </conditionalFormatting>
  <conditionalFormatting sqref="C3">
    <cfRule type="aboveAverage" dxfId="315" priority="1"/>
    <cfRule type="top10" dxfId="314" priority="2" rank="10"/>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81DC-6107-4A96-B9E7-4B2B0CB2F41A}">
  <dimension ref="A1:E142"/>
  <sheetViews>
    <sheetView zoomScale="90" workbookViewId="0">
      <selection activeCell="P15" sqref="P15"/>
    </sheetView>
  </sheetViews>
  <sheetFormatPr defaultRowHeight="18" x14ac:dyDescent="0.5"/>
  <cols>
    <col min="1" max="1" width="47.44140625" bestFit="1" customWidth="1"/>
    <col min="2" max="2" width="18" bestFit="1" customWidth="1"/>
    <col min="3" max="3" width="20" bestFit="1" customWidth="1"/>
    <col min="4" max="4" width="18.77734375" bestFit="1" customWidth="1"/>
    <col min="5" max="5" width="32.77734375" bestFit="1" customWidth="1"/>
  </cols>
  <sheetData>
    <row r="1" spans="1:5" ht="29.4" customHeight="1" x14ac:dyDescent="0.5">
      <c r="A1" s="43" t="s">
        <v>797</v>
      </c>
      <c r="B1" s="43"/>
      <c r="C1" s="43"/>
      <c r="D1" s="43"/>
      <c r="E1" s="43"/>
    </row>
    <row r="2" spans="1:5" ht="18" customHeight="1" x14ac:dyDescent="0.5">
      <c r="A2" s="43"/>
      <c r="B2" s="43"/>
      <c r="C2" s="43"/>
      <c r="D2" s="43"/>
      <c r="E2" s="43"/>
    </row>
    <row r="3" spans="1:5" ht="24.6" x14ac:dyDescent="0.5">
      <c r="A3" s="23" t="s">
        <v>789</v>
      </c>
      <c r="B3" s="24" t="s">
        <v>790</v>
      </c>
      <c r="C3" s="24" t="s">
        <v>791</v>
      </c>
      <c r="D3" s="24" t="s">
        <v>786</v>
      </c>
      <c r="E3" s="24" t="s">
        <v>787</v>
      </c>
    </row>
    <row r="4" spans="1:5" x14ac:dyDescent="0.5">
      <c r="A4" s="1" t="s">
        <v>85</v>
      </c>
      <c r="B4" s="1">
        <v>61011</v>
      </c>
      <c r="C4" s="1">
        <v>181</v>
      </c>
      <c r="D4" s="1">
        <v>61192</v>
      </c>
      <c r="E4" s="1">
        <v>40.56</v>
      </c>
    </row>
    <row r="5" spans="1:5" x14ac:dyDescent="0.5">
      <c r="A5" s="1" t="s">
        <v>782</v>
      </c>
      <c r="B5" s="1">
        <v>61011</v>
      </c>
      <c r="C5" s="1">
        <v>181</v>
      </c>
      <c r="D5" s="1">
        <v>61192</v>
      </c>
      <c r="E5" s="1">
        <v>40.56</v>
      </c>
    </row>
    <row r="6" spans="1:5" x14ac:dyDescent="0.5">
      <c r="A6" s="1" t="s">
        <v>248</v>
      </c>
      <c r="B6" s="1">
        <v>58041</v>
      </c>
      <c r="C6" s="1">
        <v>79</v>
      </c>
      <c r="D6" s="1">
        <v>58120</v>
      </c>
      <c r="E6" s="1">
        <v>68.8</v>
      </c>
    </row>
    <row r="7" spans="1:5" x14ac:dyDescent="0.5">
      <c r="A7" s="1" t="s">
        <v>12</v>
      </c>
      <c r="B7" s="1">
        <v>58041</v>
      </c>
      <c r="C7" s="1">
        <v>79</v>
      </c>
      <c r="D7" s="1">
        <v>58120</v>
      </c>
      <c r="E7" s="1">
        <v>68.8</v>
      </c>
    </row>
    <row r="8" spans="1:5" x14ac:dyDescent="0.5">
      <c r="A8" s="1" t="s">
        <v>637</v>
      </c>
      <c r="B8" s="1">
        <v>65560</v>
      </c>
      <c r="C8" s="1">
        <v>298</v>
      </c>
      <c r="D8" s="1">
        <v>65858</v>
      </c>
      <c r="E8" s="1">
        <v>52.11</v>
      </c>
    </row>
    <row r="9" spans="1:5" x14ac:dyDescent="0.5">
      <c r="A9" s="1" t="s">
        <v>782</v>
      </c>
      <c r="B9" s="1">
        <v>65560</v>
      </c>
      <c r="C9" s="1">
        <v>298</v>
      </c>
      <c r="D9" s="1">
        <v>65858</v>
      </c>
      <c r="E9" s="1">
        <v>52.11</v>
      </c>
    </row>
    <row r="10" spans="1:5" x14ac:dyDescent="0.5">
      <c r="A10" s="1" t="s">
        <v>727</v>
      </c>
      <c r="B10" s="1">
        <v>79706</v>
      </c>
      <c r="C10" s="1">
        <v>281</v>
      </c>
      <c r="D10" s="1">
        <v>79987</v>
      </c>
      <c r="E10" s="1">
        <v>56.96</v>
      </c>
    </row>
    <row r="11" spans="1:5" x14ac:dyDescent="0.5">
      <c r="A11" s="1" t="s">
        <v>782</v>
      </c>
      <c r="B11" s="1">
        <v>79706</v>
      </c>
      <c r="C11" s="1">
        <v>281</v>
      </c>
      <c r="D11" s="1">
        <v>79987</v>
      </c>
      <c r="E11" s="1">
        <v>56.96</v>
      </c>
    </row>
    <row r="12" spans="1:5" x14ac:dyDescent="0.5">
      <c r="A12" s="1" t="s">
        <v>596</v>
      </c>
      <c r="B12" s="1">
        <v>88751</v>
      </c>
      <c r="C12" s="1">
        <v>192</v>
      </c>
      <c r="D12" s="1">
        <v>88943</v>
      </c>
      <c r="E12" s="1">
        <v>42.45</v>
      </c>
    </row>
    <row r="13" spans="1:5" x14ac:dyDescent="0.5">
      <c r="A13" s="1" t="s">
        <v>12</v>
      </c>
      <c r="B13" s="1">
        <v>88751</v>
      </c>
      <c r="C13" s="1">
        <v>192</v>
      </c>
      <c r="D13" s="1">
        <v>88943</v>
      </c>
      <c r="E13" s="1">
        <v>42.45</v>
      </c>
    </row>
    <row r="14" spans="1:5" x14ac:dyDescent="0.5">
      <c r="A14" s="1" t="s">
        <v>135</v>
      </c>
      <c r="B14" s="1">
        <v>105660</v>
      </c>
      <c r="C14" s="1">
        <v>120</v>
      </c>
      <c r="D14" s="1">
        <v>105780</v>
      </c>
      <c r="E14" s="1">
        <v>52.26</v>
      </c>
    </row>
    <row r="15" spans="1:5" x14ac:dyDescent="0.5">
      <c r="A15" s="1" t="s">
        <v>12</v>
      </c>
      <c r="B15" s="1">
        <v>105660</v>
      </c>
      <c r="C15" s="1">
        <v>120</v>
      </c>
      <c r="D15" s="1">
        <v>105780</v>
      </c>
      <c r="E15" s="1">
        <v>52.26</v>
      </c>
    </row>
    <row r="16" spans="1:5" x14ac:dyDescent="0.5">
      <c r="A16" s="1" t="s">
        <v>493</v>
      </c>
      <c r="B16" s="1">
        <v>42965</v>
      </c>
      <c r="C16" s="1">
        <v>295</v>
      </c>
      <c r="D16" s="1">
        <v>43260</v>
      </c>
      <c r="E16" s="1">
        <v>56.55</v>
      </c>
    </row>
    <row r="17" spans="1:5" x14ac:dyDescent="0.5">
      <c r="A17" s="1" t="s">
        <v>782</v>
      </c>
      <c r="B17" s="1">
        <v>42965</v>
      </c>
      <c r="C17" s="1">
        <v>295</v>
      </c>
      <c r="D17" s="1">
        <v>43260</v>
      </c>
      <c r="E17" s="1">
        <v>56.55</v>
      </c>
    </row>
    <row r="18" spans="1:5" x14ac:dyDescent="0.5">
      <c r="A18" s="1" t="s">
        <v>673</v>
      </c>
      <c r="B18" s="1">
        <v>56665</v>
      </c>
      <c r="C18" s="1">
        <v>193</v>
      </c>
      <c r="D18" s="1">
        <v>56858</v>
      </c>
      <c r="E18" s="1">
        <v>53.94</v>
      </c>
    </row>
    <row r="19" spans="1:5" x14ac:dyDescent="0.5">
      <c r="A19" s="1" t="s">
        <v>782</v>
      </c>
      <c r="B19" s="1">
        <v>56665</v>
      </c>
      <c r="C19" s="1">
        <v>193</v>
      </c>
      <c r="D19" s="1">
        <v>56858</v>
      </c>
      <c r="E19" s="1">
        <v>53.94</v>
      </c>
    </row>
    <row r="20" spans="1:5" x14ac:dyDescent="0.5">
      <c r="A20" s="1" t="s">
        <v>327</v>
      </c>
      <c r="B20" s="1">
        <v>68564</v>
      </c>
      <c r="C20" s="1">
        <v>422</v>
      </c>
      <c r="D20" s="1">
        <v>68986</v>
      </c>
      <c r="E20" s="1">
        <v>55.27</v>
      </c>
    </row>
    <row r="21" spans="1:5" x14ac:dyDescent="0.5">
      <c r="A21" s="1" t="s">
        <v>782</v>
      </c>
      <c r="B21" s="1">
        <v>68564</v>
      </c>
      <c r="C21" s="1">
        <v>422</v>
      </c>
      <c r="D21" s="1">
        <v>68986</v>
      </c>
      <c r="E21" s="1">
        <v>55.27</v>
      </c>
    </row>
    <row r="22" spans="1:5" x14ac:dyDescent="0.5">
      <c r="A22" s="1" t="s">
        <v>217</v>
      </c>
      <c r="B22" s="1">
        <v>51848</v>
      </c>
      <c r="C22" s="1">
        <v>260</v>
      </c>
      <c r="D22" s="1">
        <v>52108</v>
      </c>
      <c r="E22" s="1">
        <v>54.1</v>
      </c>
    </row>
    <row r="23" spans="1:5" x14ac:dyDescent="0.5">
      <c r="A23" s="1" t="s">
        <v>782</v>
      </c>
      <c r="B23" s="1">
        <v>51848</v>
      </c>
      <c r="C23" s="1">
        <v>260</v>
      </c>
      <c r="D23" s="1">
        <v>52108</v>
      </c>
      <c r="E23" s="1">
        <v>54.1</v>
      </c>
    </row>
    <row r="24" spans="1:5" x14ac:dyDescent="0.5">
      <c r="A24" s="1" t="s">
        <v>560</v>
      </c>
      <c r="B24" s="1">
        <v>52058</v>
      </c>
      <c r="C24" s="1">
        <v>96</v>
      </c>
      <c r="D24" s="1">
        <v>52154</v>
      </c>
      <c r="E24" s="1">
        <v>48.8</v>
      </c>
    </row>
    <row r="25" spans="1:5" x14ac:dyDescent="0.5">
      <c r="A25" s="1" t="s">
        <v>12</v>
      </c>
      <c r="B25" s="1">
        <v>52058</v>
      </c>
      <c r="C25" s="1">
        <v>96</v>
      </c>
      <c r="D25" s="1">
        <v>52154</v>
      </c>
      <c r="E25" s="1">
        <v>48.8</v>
      </c>
    </row>
    <row r="26" spans="1:5" x14ac:dyDescent="0.5">
      <c r="A26" s="1" t="s">
        <v>542</v>
      </c>
      <c r="B26" s="1">
        <v>53980</v>
      </c>
      <c r="C26" s="1">
        <v>69</v>
      </c>
      <c r="D26" s="1">
        <v>54049</v>
      </c>
      <c r="E26" s="1">
        <v>42.99</v>
      </c>
    </row>
    <row r="27" spans="1:5" x14ac:dyDescent="0.5">
      <c r="A27" s="1" t="s">
        <v>782</v>
      </c>
      <c r="B27" s="1">
        <v>53980</v>
      </c>
      <c r="C27" s="1">
        <v>69</v>
      </c>
      <c r="D27" s="1">
        <v>54049</v>
      </c>
      <c r="E27" s="1">
        <v>42.99</v>
      </c>
    </row>
    <row r="28" spans="1:5" x14ac:dyDescent="0.5">
      <c r="A28" s="1" t="s">
        <v>716</v>
      </c>
      <c r="B28" s="1">
        <v>78866</v>
      </c>
      <c r="C28" s="1">
        <v>143</v>
      </c>
      <c r="D28" s="1">
        <v>79009</v>
      </c>
      <c r="E28" s="1">
        <v>59.21</v>
      </c>
    </row>
    <row r="29" spans="1:5" x14ac:dyDescent="0.5">
      <c r="A29" s="1" t="s">
        <v>12</v>
      </c>
      <c r="B29" s="1">
        <v>78866</v>
      </c>
      <c r="C29" s="1">
        <v>143</v>
      </c>
      <c r="D29" s="1">
        <v>79009</v>
      </c>
      <c r="E29" s="1">
        <v>59.21</v>
      </c>
    </row>
    <row r="30" spans="1:5" x14ac:dyDescent="0.5">
      <c r="A30" s="1" t="s">
        <v>665</v>
      </c>
      <c r="B30" s="1">
        <v>75623</v>
      </c>
      <c r="C30" s="1">
        <v>299</v>
      </c>
      <c r="D30" s="1">
        <v>75922</v>
      </c>
      <c r="E30" s="1">
        <v>52.94</v>
      </c>
    </row>
    <row r="31" spans="1:5" x14ac:dyDescent="0.5">
      <c r="A31" s="1" t="s">
        <v>782</v>
      </c>
      <c r="B31" s="1">
        <v>75623</v>
      </c>
      <c r="C31" s="1">
        <v>299</v>
      </c>
      <c r="D31" s="1">
        <v>75922</v>
      </c>
      <c r="E31" s="1">
        <v>52.94</v>
      </c>
    </row>
    <row r="32" spans="1:5" x14ac:dyDescent="0.5">
      <c r="A32" s="1" t="s">
        <v>534</v>
      </c>
      <c r="B32" s="1">
        <v>46122</v>
      </c>
      <c r="C32" s="1">
        <v>163</v>
      </c>
      <c r="D32" s="1">
        <v>46285</v>
      </c>
      <c r="E32" s="1">
        <v>47.62</v>
      </c>
    </row>
    <row r="33" spans="1:5" x14ac:dyDescent="0.5">
      <c r="A33" s="1" t="s">
        <v>12</v>
      </c>
      <c r="B33" s="1">
        <v>46122</v>
      </c>
      <c r="C33" s="1">
        <v>163</v>
      </c>
      <c r="D33" s="1">
        <v>46285</v>
      </c>
      <c r="E33" s="1">
        <v>47.62</v>
      </c>
    </row>
    <row r="34" spans="1:5" x14ac:dyDescent="0.5">
      <c r="A34" s="1" t="s">
        <v>119</v>
      </c>
      <c r="B34" s="1">
        <v>89128</v>
      </c>
      <c r="C34" s="1">
        <v>711</v>
      </c>
      <c r="D34" s="1">
        <v>89839</v>
      </c>
      <c r="E34" s="1">
        <v>47.07</v>
      </c>
    </row>
    <row r="35" spans="1:5" x14ac:dyDescent="0.5">
      <c r="A35" s="1" t="s">
        <v>782</v>
      </c>
      <c r="B35" s="1">
        <v>89128</v>
      </c>
      <c r="C35" s="1">
        <v>711</v>
      </c>
      <c r="D35" s="1">
        <v>89839</v>
      </c>
      <c r="E35" s="1">
        <v>47.07</v>
      </c>
    </row>
    <row r="36" spans="1:5" x14ac:dyDescent="0.5">
      <c r="A36" s="1" t="s">
        <v>506</v>
      </c>
      <c r="B36" s="1">
        <v>48022</v>
      </c>
      <c r="C36" s="1">
        <v>327</v>
      </c>
      <c r="D36" s="1">
        <v>48349</v>
      </c>
      <c r="E36" s="1">
        <v>41.67</v>
      </c>
    </row>
    <row r="37" spans="1:5" x14ac:dyDescent="0.5">
      <c r="A37" s="1" t="s">
        <v>782</v>
      </c>
      <c r="B37" s="1">
        <v>48022</v>
      </c>
      <c r="C37" s="1">
        <v>327</v>
      </c>
      <c r="D37" s="1">
        <v>48349</v>
      </c>
      <c r="E37" s="1">
        <v>41.67</v>
      </c>
    </row>
    <row r="38" spans="1:5" x14ac:dyDescent="0.5">
      <c r="A38" s="1" t="s">
        <v>735</v>
      </c>
      <c r="B38" s="1">
        <v>76031</v>
      </c>
      <c r="C38" s="1">
        <v>161</v>
      </c>
      <c r="D38" s="1">
        <v>76192</v>
      </c>
      <c r="E38" s="1">
        <v>53.19</v>
      </c>
    </row>
    <row r="39" spans="1:5" x14ac:dyDescent="0.5">
      <c r="A39" s="1" t="s">
        <v>12</v>
      </c>
      <c r="B39" s="1">
        <v>76031</v>
      </c>
      <c r="C39" s="1">
        <v>161</v>
      </c>
      <c r="D39" s="1">
        <v>76192</v>
      </c>
      <c r="E39" s="1">
        <v>53.19</v>
      </c>
    </row>
    <row r="40" spans="1:5" x14ac:dyDescent="0.5">
      <c r="A40" s="1" t="s">
        <v>282</v>
      </c>
      <c r="B40" s="1">
        <v>57364</v>
      </c>
      <c r="C40" s="1">
        <v>201</v>
      </c>
      <c r="D40" s="1">
        <v>57565</v>
      </c>
      <c r="E40" s="1">
        <v>52.64</v>
      </c>
    </row>
    <row r="41" spans="1:5" x14ac:dyDescent="0.5">
      <c r="A41" s="1" t="s">
        <v>782</v>
      </c>
      <c r="B41" s="1">
        <v>57364</v>
      </c>
      <c r="C41" s="1">
        <v>201</v>
      </c>
      <c r="D41" s="1">
        <v>57565</v>
      </c>
      <c r="E41" s="1">
        <v>52.64</v>
      </c>
    </row>
    <row r="42" spans="1:5" x14ac:dyDescent="0.5">
      <c r="A42" s="1" t="s">
        <v>259</v>
      </c>
      <c r="B42" s="1">
        <v>56932</v>
      </c>
      <c r="C42" s="1">
        <v>72</v>
      </c>
      <c r="D42" s="1">
        <v>57004</v>
      </c>
      <c r="E42" s="1">
        <v>58</v>
      </c>
    </row>
    <row r="43" spans="1:5" x14ac:dyDescent="0.5">
      <c r="A43" s="1" t="s">
        <v>12</v>
      </c>
      <c r="B43" s="1">
        <v>56932</v>
      </c>
      <c r="C43" s="1">
        <v>72</v>
      </c>
      <c r="D43" s="1">
        <v>57004</v>
      </c>
      <c r="E43" s="1">
        <v>58</v>
      </c>
    </row>
    <row r="44" spans="1:5" x14ac:dyDescent="0.5">
      <c r="A44" s="1" t="s">
        <v>322</v>
      </c>
      <c r="B44" s="1">
        <v>51955</v>
      </c>
      <c r="C44" s="1">
        <v>179</v>
      </c>
      <c r="D44" s="1">
        <v>52134</v>
      </c>
      <c r="E44" s="1">
        <v>54.02</v>
      </c>
    </row>
    <row r="45" spans="1:5" x14ac:dyDescent="0.5">
      <c r="A45" s="1" t="s">
        <v>12</v>
      </c>
      <c r="B45" s="1">
        <v>51955</v>
      </c>
      <c r="C45" s="1">
        <v>179</v>
      </c>
      <c r="D45" s="1">
        <v>52134</v>
      </c>
      <c r="E45" s="1">
        <v>54.02</v>
      </c>
    </row>
    <row r="46" spans="1:5" x14ac:dyDescent="0.5">
      <c r="A46" s="1" t="s">
        <v>701</v>
      </c>
      <c r="B46" s="1">
        <v>82299</v>
      </c>
      <c r="C46" s="1">
        <v>597</v>
      </c>
      <c r="D46" s="1">
        <v>82896</v>
      </c>
      <c r="E46" s="1">
        <v>57.44</v>
      </c>
    </row>
    <row r="47" spans="1:5" x14ac:dyDescent="0.5">
      <c r="A47" s="1" t="s">
        <v>782</v>
      </c>
      <c r="B47" s="1">
        <v>82299</v>
      </c>
      <c r="C47" s="1">
        <v>597</v>
      </c>
      <c r="D47" s="1">
        <v>82896</v>
      </c>
      <c r="E47" s="1">
        <v>57.44</v>
      </c>
    </row>
    <row r="48" spans="1:5" x14ac:dyDescent="0.5">
      <c r="A48" s="1" t="s">
        <v>410</v>
      </c>
      <c r="B48" s="1">
        <v>64587</v>
      </c>
      <c r="C48" s="1">
        <v>364</v>
      </c>
      <c r="D48" s="1">
        <v>64951</v>
      </c>
      <c r="E48" s="1">
        <v>49.77</v>
      </c>
    </row>
    <row r="49" spans="1:5" x14ac:dyDescent="0.5">
      <c r="A49" s="1" t="s">
        <v>782</v>
      </c>
      <c r="B49" s="1">
        <v>64587</v>
      </c>
      <c r="C49" s="1">
        <v>364</v>
      </c>
      <c r="D49" s="1">
        <v>64951</v>
      </c>
      <c r="E49" s="1">
        <v>49.77</v>
      </c>
    </row>
    <row r="50" spans="1:5" x14ac:dyDescent="0.5">
      <c r="A50" s="1" t="s">
        <v>292</v>
      </c>
      <c r="B50" s="1">
        <v>51824</v>
      </c>
      <c r="C50" s="1">
        <v>195</v>
      </c>
      <c r="D50" s="1">
        <v>52019</v>
      </c>
      <c r="E50" s="1">
        <v>46.08</v>
      </c>
    </row>
    <row r="51" spans="1:5" x14ac:dyDescent="0.5">
      <c r="A51" s="1" t="s">
        <v>782</v>
      </c>
      <c r="B51" s="1">
        <v>51824</v>
      </c>
      <c r="C51" s="1">
        <v>195</v>
      </c>
      <c r="D51" s="1">
        <v>52019</v>
      </c>
      <c r="E51" s="1">
        <v>46.08</v>
      </c>
    </row>
    <row r="52" spans="1:5" x14ac:dyDescent="0.5">
      <c r="A52" s="1" t="s">
        <v>766</v>
      </c>
      <c r="B52" s="1">
        <v>106963</v>
      </c>
      <c r="C52" s="1">
        <v>404</v>
      </c>
      <c r="D52" s="1">
        <v>107367</v>
      </c>
      <c r="E52" s="1">
        <v>53.39</v>
      </c>
    </row>
    <row r="53" spans="1:5" x14ac:dyDescent="0.5">
      <c r="A53" s="1" t="s">
        <v>782</v>
      </c>
      <c r="B53" s="1">
        <v>106963</v>
      </c>
      <c r="C53" s="1">
        <v>404</v>
      </c>
      <c r="D53" s="1">
        <v>107367</v>
      </c>
      <c r="E53" s="1">
        <v>53.39</v>
      </c>
    </row>
    <row r="54" spans="1:5" x14ac:dyDescent="0.5">
      <c r="A54" s="1" t="s">
        <v>193</v>
      </c>
      <c r="B54" s="1">
        <v>56570</v>
      </c>
      <c r="C54" s="1">
        <v>299</v>
      </c>
      <c r="D54" s="1">
        <v>56869</v>
      </c>
      <c r="E54" s="1">
        <v>57.07</v>
      </c>
    </row>
    <row r="55" spans="1:5" x14ac:dyDescent="0.5">
      <c r="A55" s="1" t="s">
        <v>782</v>
      </c>
      <c r="B55" s="1">
        <v>56570</v>
      </c>
      <c r="C55" s="1">
        <v>299</v>
      </c>
      <c r="D55" s="1">
        <v>56869</v>
      </c>
      <c r="E55" s="1">
        <v>57.07</v>
      </c>
    </row>
    <row r="56" spans="1:5" x14ac:dyDescent="0.5">
      <c r="A56" s="1" t="s">
        <v>515</v>
      </c>
      <c r="B56" s="1">
        <v>80128</v>
      </c>
      <c r="C56" s="1">
        <v>341</v>
      </c>
      <c r="D56" s="1">
        <v>80469</v>
      </c>
      <c r="E56" s="1">
        <v>48.98</v>
      </c>
    </row>
    <row r="57" spans="1:5" x14ac:dyDescent="0.5">
      <c r="A57" s="1" t="s">
        <v>782</v>
      </c>
      <c r="B57" s="1">
        <v>80128</v>
      </c>
      <c r="C57" s="1">
        <v>341</v>
      </c>
      <c r="D57" s="1">
        <v>80469</v>
      </c>
      <c r="E57" s="1">
        <v>48.98</v>
      </c>
    </row>
    <row r="58" spans="1:5" x14ac:dyDescent="0.5">
      <c r="A58" s="1" t="s">
        <v>622</v>
      </c>
      <c r="B58" s="1">
        <v>61609</v>
      </c>
      <c r="C58" s="1">
        <v>183</v>
      </c>
      <c r="D58" s="1">
        <v>61792</v>
      </c>
      <c r="E58" s="1">
        <v>48</v>
      </c>
    </row>
    <row r="59" spans="1:5" x14ac:dyDescent="0.5">
      <c r="A59" s="1" t="s">
        <v>12</v>
      </c>
      <c r="B59" s="1">
        <v>61609</v>
      </c>
      <c r="C59" s="1">
        <v>183</v>
      </c>
      <c r="D59" s="1">
        <v>61792</v>
      </c>
      <c r="E59" s="1">
        <v>48</v>
      </c>
    </row>
    <row r="60" spans="1:5" x14ac:dyDescent="0.5">
      <c r="A60" s="1" t="s">
        <v>422</v>
      </c>
      <c r="B60" s="1">
        <v>81589</v>
      </c>
      <c r="C60" s="1">
        <v>457</v>
      </c>
      <c r="D60" s="1">
        <v>82046</v>
      </c>
      <c r="E60" s="1">
        <v>50.45</v>
      </c>
    </row>
    <row r="61" spans="1:5" x14ac:dyDescent="0.5">
      <c r="A61" s="1" t="s">
        <v>782</v>
      </c>
      <c r="B61" s="1">
        <v>81589</v>
      </c>
      <c r="C61" s="1">
        <v>457</v>
      </c>
      <c r="D61" s="1">
        <v>82046</v>
      </c>
      <c r="E61" s="1">
        <v>50.45</v>
      </c>
    </row>
    <row r="62" spans="1:5" x14ac:dyDescent="0.5">
      <c r="A62" s="1" t="s">
        <v>98</v>
      </c>
      <c r="B62" s="1">
        <v>103950</v>
      </c>
      <c r="C62" s="1">
        <v>421</v>
      </c>
      <c r="D62" s="1">
        <v>104371</v>
      </c>
      <c r="E62" s="1">
        <v>55.76</v>
      </c>
    </row>
    <row r="63" spans="1:5" x14ac:dyDescent="0.5">
      <c r="A63" s="1" t="s">
        <v>782</v>
      </c>
      <c r="B63" s="1">
        <v>103950</v>
      </c>
      <c r="C63" s="1">
        <v>421</v>
      </c>
      <c r="D63" s="1">
        <v>104371</v>
      </c>
      <c r="E63" s="1">
        <v>55.76</v>
      </c>
    </row>
    <row r="64" spans="1:5" x14ac:dyDescent="0.5">
      <c r="A64" s="1" t="s">
        <v>304</v>
      </c>
      <c r="B64" s="1">
        <v>63883</v>
      </c>
      <c r="C64" s="1">
        <v>249</v>
      </c>
      <c r="D64" s="1">
        <v>64132</v>
      </c>
      <c r="E64" s="1">
        <v>55.86</v>
      </c>
    </row>
    <row r="65" spans="1:5" x14ac:dyDescent="0.5">
      <c r="A65" s="1" t="s">
        <v>782</v>
      </c>
      <c r="B65" s="1">
        <v>63883</v>
      </c>
      <c r="C65" s="1">
        <v>249</v>
      </c>
      <c r="D65" s="1">
        <v>64132</v>
      </c>
      <c r="E65" s="1">
        <v>55.86</v>
      </c>
    </row>
    <row r="66" spans="1:5" x14ac:dyDescent="0.5">
      <c r="A66" s="1" t="s">
        <v>159</v>
      </c>
      <c r="B66" s="1">
        <v>74950</v>
      </c>
      <c r="C66" s="1">
        <v>322</v>
      </c>
      <c r="D66" s="1">
        <v>75272</v>
      </c>
      <c r="E66" s="1">
        <v>47.25</v>
      </c>
    </row>
    <row r="67" spans="1:5" x14ac:dyDescent="0.5">
      <c r="A67" s="1" t="s">
        <v>782</v>
      </c>
      <c r="B67" s="1">
        <v>74950</v>
      </c>
      <c r="C67" s="1">
        <v>322</v>
      </c>
      <c r="D67" s="1">
        <v>75272</v>
      </c>
      <c r="E67" s="1">
        <v>47.25</v>
      </c>
    </row>
    <row r="68" spans="1:5" x14ac:dyDescent="0.5">
      <c r="A68" s="1" t="s">
        <v>755</v>
      </c>
      <c r="B68" s="1">
        <v>84888</v>
      </c>
      <c r="C68" s="1">
        <v>327</v>
      </c>
      <c r="D68" s="1">
        <v>85215</v>
      </c>
      <c r="E68" s="1">
        <v>42.36</v>
      </c>
    </row>
    <row r="69" spans="1:5" x14ac:dyDescent="0.5">
      <c r="A69" s="1" t="s">
        <v>782</v>
      </c>
      <c r="B69" s="1">
        <v>84888</v>
      </c>
      <c r="C69" s="1">
        <v>327</v>
      </c>
      <c r="D69" s="1">
        <v>85215</v>
      </c>
      <c r="E69" s="1">
        <v>42.36</v>
      </c>
    </row>
    <row r="70" spans="1:5" x14ac:dyDescent="0.5">
      <c r="A70" s="1" t="s">
        <v>148</v>
      </c>
      <c r="B70" s="1">
        <v>58687</v>
      </c>
      <c r="C70" s="1">
        <v>80</v>
      </c>
      <c r="D70" s="1">
        <v>58767</v>
      </c>
      <c r="E70" s="1">
        <v>52.09</v>
      </c>
    </row>
    <row r="71" spans="1:5" x14ac:dyDescent="0.5">
      <c r="A71" s="1" t="s">
        <v>12</v>
      </c>
      <c r="B71" s="1">
        <v>58687</v>
      </c>
      <c r="C71" s="1">
        <v>80</v>
      </c>
      <c r="D71" s="1">
        <v>58767</v>
      </c>
      <c r="E71" s="1">
        <v>52.09</v>
      </c>
    </row>
    <row r="72" spans="1:5" x14ac:dyDescent="0.5">
      <c r="A72" s="1" t="s">
        <v>401</v>
      </c>
      <c r="B72" s="1">
        <v>100058</v>
      </c>
      <c r="C72" s="1">
        <v>1650</v>
      </c>
      <c r="D72" s="1">
        <v>101708</v>
      </c>
      <c r="E72" s="1">
        <v>56.4</v>
      </c>
    </row>
    <row r="73" spans="1:5" x14ac:dyDescent="0.5">
      <c r="A73" s="1" t="s">
        <v>782</v>
      </c>
      <c r="B73" s="1">
        <v>100058</v>
      </c>
      <c r="C73" s="1">
        <v>1650</v>
      </c>
      <c r="D73" s="1">
        <v>101708</v>
      </c>
      <c r="E73" s="1">
        <v>56.4</v>
      </c>
    </row>
    <row r="74" spans="1:5" x14ac:dyDescent="0.5">
      <c r="A74" s="1" t="s">
        <v>481</v>
      </c>
      <c r="B74" s="1">
        <v>37896</v>
      </c>
      <c r="C74" s="1">
        <v>171</v>
      </c>
      <c r="D74" s="1">
        <v>38067</v>
      </c>
      <c r="E74" s="1">
        <v>45.06</v>
      </c>
    </row>
    <row r="75" spans="1:5" x14ac:dyDescent="0.5">
      <c r="A75" s="1" t="s">
        <v>782</v>
      </c>
      <c r="B75" s="1">
        <v>37896</v>
      </c>
      <c r="C75" s="1">
        <v>171</v>
      </c>
      <c r="D75" s="1">
        <v>38067</v>
      </c>
      <c r="E75" s="1">
        <v>45.06</v>
      </c>
    </row>
    <row r="76" spans="1:5" x14ac:dyDescent="0.5">
      <c r="A76" s="1" t="s">
        <v>656</v>
      </c>
      <c r="B76" s="1">
        <v>71672</v>
      </c>
      <c r="C76" s="1">
        <v>469</v>
      </c>
      <c r="D76" s="1">
        <v>72141</v>
      </c>
      <c r="E76" s="1">
        <v>57.7</v>
      </c>
    </row>
    <row r="77" spans="1:5" x14ac:dyDescent="0.5">
      <c r="A77" s="1" t="s">
        <v>782</v>
      </c>
      <c r="B77" s="1">
        <v>71672</v>
      </c>
      <c r="C77" s="1">
        <v>469</v>
      </c>
      <c r="D77" s="1">
        <v>72141</v>
      </c>
      <c r="E77" s="1">
        <v>57.7</v>
      </c>
    </row>
    <row r="78" spans="1:5" x14ac:dyDescent="0.5">
      <c r="A78" s="1" t="s">
        <v>348</v>
      </c>
      <c r="B78" s="1">
        <v>135038</v>
      </c>
      <c r="C78" s="1">
        <v>526</v>
      </c>
      <c r="D78" s="1">
        <v>135564</v>
      </c>
      <c r="E78" s="1">
        <v>49.54</v>
      </c>
    </row>
    <row r="79" spans="1:5" x14ac:dyDescent="0.5">
      <c r="A79" s="1" t="s">
        <v>782</v>
      </c>
      <c r="B79" s="1">
        <v>135038</v>
      </c>
      <c r="C79" s="1">
        <v>526</v>
      </c>
      <c r="D79" s="1">
        <v>135564</v>
      </c>
      <c r="E79" s="1">
        <v>49.54</v>
      </c>
    </row>
    <row r="80" spans="1:5" x14ac:dyDescent="0.5">
      <c r="A80" s="1" t="s">
        <v>374</v>
      </c>
      <c r="B80" s="1">
        <v>68832</v>
      </c>
      <c r="C80" s="1">
        <v>305</v>
      </c>
      <c r="D80" s="1">
        <v>69137</v>
      </c>
      <c r="E80" s="1">
        <v>49.56</v>
      </c>
    </row>
    <row r="81" spans="1:5" x14ac:dyDescent="0.5">
      <c r="A81" s="1" t="s">
        <v>782</v>
      </c>
      <c r="B81" s="1">
        <v>68832</v>
      </c>
      <c r="C81" s="1">
        <v>305</v>
      </c>
      <c r="D81" s="1">
        <v>69137</v>
      </c>
      <c r="E81" s="1">
        <v>49.56</v>
      </c>
    </row>
    <row r="82" spans="1:5" x14ac:dyDescent="0.5">
      <c r="A82" s="1" t="s">
        <v>443</v>
      </c>
      <c r="B82" s="1">
        <v>29878</v>
      </c>
      <c r="C82" s="1">
        <v>210</v>
      </c>
      <c r="D82" s="1">
        <v>30088</v>
      </c>
      <c r="E82" s="1">
        <v>48.82</v>
      </c>
    </row>
    <row r="83" spans="1:5" x14ac:dyDescent="0.5">
      <c r="A83" s="1" t="s">
        <v>782</v>
      </c>
      <c r="B83" s="1">
        <v>29878</v>
      </c>
      <c r="C83" s="1">
        <v>210</v>
      </c>
      <c r="D83" s="1">
        <v>30088</v>
      </c>
      <c r="E83" s="1">
        <v>48.82</v>
      </c>
    </row>
    <row r="84" spans="1:5" x14ac:dyDescent="0.5">
      <c r="A84" s="1" t="s">
        <v>361</v>
      </c>
      <c r="B84" s="1">
        <v>103137</v>
      </c>
      <c r="C84" s="1">
        <v>476</v>
      </c>
      <c r="D84" s="1">
        <v>103613</v>
      </c>
      <c r="E84" s="1">
        <v>52.84</v>
      </c>
    </row>
    <row r="85" spans="1:5" x14ac:dyDescent="0.5">
      <c r="A85" s="1" t="s">
        <v>782</v>
      </c>
      <c r="B85" s="1">
        <v>103137</v>
      </c>
      <c r="C85" s="1">
        <v>476</v>
      </c>
      <c r="D85" s="1">
        <v>103613</v>
      </c>
      <c r="E85" s="1">
        <v>52.84</v>
      </c>
    </row>
    <row r="86" spans="1:5" x14ac:dyDescent="0.5">
      <c r="A86" s="1" t="s">
        <v>207</v>
      </c>
      <c r="B86" s="1">
        <v>54414</v>
      </c>
      <c r="C86" s="1">
        <v>307</v>
      </c>
      <c r="D86" s="1">
        <v>54721</v>
      </c>
      <c r="E86" s="1">
        <v>51.24</v>
      </c>
    </row>
    <row r="87" spans="1:5" x14ac:dyDescent="0.5">
      <c r="A87" s="1" t="s">
        <v>782</v>
      </c>
      <c r="B87" s="1">
        <v>54414</v>
      </c>
      <c r="C87" s="1">
        <v>307</v>
      </c>
      <c r="D87" s="1">
        <v>54721</v>
      </c>
      <c r="E87" s="1">
        <v>51.24</v>
      </c>
    </row>
    <row r="88" spans="1:5" x14ac:dyDescent="0.5">
      <c r="A88" s="1" t="s">
        <v>527</v>
      </c>
      <c r="B88" s="1">
        <v>86774</v>
      </c>
      <c r="C88" s="1">
        <v>115</v>
      </c>
      <c r="D88" s="1">
        <v>86889</v>
      </c>
      <c r="E88" s="1">
        <v>55.09</v>
      </c>
    </row>
    <row r="89" spans="1:5" x14ac:dyDescent="0.5">
      <c r="A89" s="1" t="s">
        <v>12</v>
      </c>
      <c r="B89" s="1">
        <v>86774</v>
      </c>
      <c r="C89" s="1">
        <v>115</v>
      </c>
      <c r="D89" s="1">
        <v>86889</v>
      </c>
      <c r="E89" s="1">
        <v>55.09</v>
      </c>
    </row>
    <row r="90" spans="1:5" x14ac:dyDescent="0.5">
      <c r="A90" s="1" t="s">
        <v>242</v>
      </c>
      <c r="B90" s="1">
        <v>38932</v>
      </c>
      <c r="C90" s="1">
        <v>61</v>
      </c>
      <c r="D90" s="1">
        <v>38993</v>
      </c>
      <c r="E90" s="1">
        <v>54.79</v>
      </c>
    </row>
    <row r="91" spans="1:5" x14ac:dyDescent="0.5">
      <c r="A91" s="1" t="s">
        <v>12</v>
      </c>
      <c r="B91" s="1">
        <v>38932</v>
      </c>
      <c r="C91" s="1">
        <v>61</v>
      </c>
      <c r="D91" s="1">
        <v>38993</v>
      </c>
      <c r="E91" s="1">
        <v>54.79</v>
      </c>
    </row>
    <row r="92" spans="1:5" x14ac:dyDescent="0.5">
      <c r="A92" s="1" t="s">
        <v>10</v>
      </c>
      <c r="B92" s="1">
        <v>86463</v>
      </c>
      <c r="C92" s="1">
        <v>752</v>
      </c>
      <c r="D92" s="1">
        <v>87215</v>
      </c>
      <c r="E92" s="1">
        <v>49.91</v>
      </c>
    </row>
    <row r="93" spans="1:5" x14ac:dyDescent="0.5">
      <c r="A93" s="1" t="s">
        <v>782</v>
      </c>
      <c r="B93" s="1">
        <v>86463</v>
      </c>
      <c r="C93" s="1">
        <v>752</v>
      </c>
      <c r="D93" s="1">
        <v>87215</v>
      </c>
      <c r="E93" s="1">
        <v>49.91</v>
      </c>
    </row>
    <row r="94" spans="1:5" x14ac:dyDescent="0.5">
      <c r="A94" s="1" t="s">
        <v>67</v>
      </c>
      <c r="B94" s="1">
        <v>52260</v>
      </c>
      <c r="C94" s="1">
        <v>250</v>
      </c>
      <c r="D94" s="1">
        <v>52510</v>
      </c>
      <c r="E94" s="1">
        <v>52.27</v>
      </c>
    </row>
    <row r="95" spans="1:5" x14ac:dyDescent="0.5">
      <c r="A95" s="1" t="s">
        <v>782</v>
      </c>
      <c r="B95" s="1">
        <v>52260</v>
      </c>
      <c r="C95" s="1">
        <v>250</v>
      </c>
      <c r="D95" s="1">
        <v>52510</v>
      </c>
      <c r="E95" s="1">
        <v>52.27</v>
      </c>
    </row>
    <row r="96" spans="1:5" x14ac:dyDescent="0.5">
      <c r="A96" s="1" t="s">
        <v>170</v>
      </c>
      <c r="B96" s="1">
        <v>61805</v>
      </c>
      <c r="C96" s="1">
        <v>202</v>
      </c>
      <c r="D96" s="1">
        <v>62007</v>
      </c>
      <c r="E96" s="1">
        <v>50.23</v>
      </c>
    </row>
    <row r="97" spans="1:5" x14ac:dyDescent="0.5">
      <c r="A97" s="1" t="s">
        <v>782</v>
      </c>
      <c r="B97" s="1">
        <v>61805</v>
      </c>
      <c r="C97" s="1">
        <v>202</v>
      </c>
      <c r="D97" s="1">
        <v>62007</v>
      </c>
      <c r="E97" s="1">
        <v>50.23</v>
      </c>
    </row>
    <row r="98" spans="1:5" x14ac:dyDescent="0.5">
      <c r="A98" s="1" t="s">
        <v>587</v>
      </c>
      <c r="B98" s="1">
        <v>112809</v>
      </c>
      <c r="C98" s="1">
        <v>182</v>
      </c>
      <c r="D98" s="1">
        <v>112991</v>
      </c>
      <c r="E98" s="1">
        <v>54.3</v>
      </c>
    </row>
    <row r="99" spans="1:5" x14ac:dyDescent="0.5">
      <c r="A99" s="1" t="s">
        <v>12</v>
      </c>
      <c r="B99" s="1">
        <v>112809</v>
      </c>
      <c r="C99" s="1">
        <v>182</v>
      </c>
      <c r="D99" s="1">
        <v>112991</v>
      </c>
      <c r="E99" s="1">
        <v>54.3</v>
      </c>
    </row>
    <row r="100" spans="1:5" x14ac:dyDescent="0.5">
      <c r="A100" s="1" t="s">
        <v>617</v>
      </c>
      <c r="B100" s="1">
        <v>58029</v>
      </c>
      <c r="C100" s="1">
        <v>188</v>
      </c>
      <c r="D100" s="1">
        <v>58217</v>
      </c>
      <c r="E100" s="1">
        <v>46.1</v>
      </c>
    </row>
    <row r="101" spans="1:5" x14ac:dyDescent="0.5">
      <c r="A101" s="1" t="s">
        <v>782</v>
      </c>
      <c r="B101" s="1">
        <v>58029</v>
      </c>
      <c r="C101" s="1">
        <v>188</v>
      </c>
      <c r="D101" s="1">
        <v>58217</v>
      </c>
      <c r="E101" s="1">
        <v>46.1</v>
      </c>
    </row>
    <row r="102" spans="1:5" x14ac:dyDescent="0.5">
      <c r="A102" s="1" t="s">
        <v>113</v>
      </c>
      <c r="B102" s="1">
        <v>118746</v>
      </c>
      <c r="C102" s="1">
        <v>769</v>
      </c>
      <c r="D102" s="1">
        <v>119515</v>
      </c>
      <c r="E102" s="1">
        <v>52</v>
      </c>
    </row>
    <row r="103" spans="1:5" x14ac:dyDescent="0.5">
      <c r="A103" s="1" t="s">
        <v>782</v>
      </c>
      <c r="B103" s="1">
        <v>118746</v>
      </c>
      <c r="C103" s="1">
        <v>769</v>
      </c>
      <c r="D103" s="1">
        <v>119515</v>
      </c>
      <c r="E103" s="1">
        <v>52</v>
      </c>
    </row>
    <row r="104" spans="1:5" x14ac:dyDescent="0.5">
      <c r="A104" s="1" t="s">
        <v>631</v>
      </c>
      <c r="B104" s="1">
        <v>73696</v>
      </c>
      <c r="C104" s="1">
        <v>364</v>
      </c>
      <c r="D104" s="1">
        <v>74060</v>
      </c>
      <c r="E104" s="1">
        <v>53.41</v>
      </c>
    </row>
    <row r="105" spans="1:5" x14ac:dyDescent="0.5">
      <c r="A105" s="1" t="s">
        <v>782</v>
      </c>
      <c r="B105" s="1">
        <v>73696</v>
      </c>
      <c r="C105" s="1">
        <v>364</v>
      </c>
      <c r="D105" s="1">
        <v>74060</v>
      </c>
      <c r="E105" s="1">
        <v>53.41</v>
      </c>
    </row>
    <row r="106" spans="1:5" x14ac:dyDescent="0.5">
      <c r="A106" s="1" t="s">
        <v>185</v>
      </c>
      <c r="B106" s="1">
        <v>67839</v>
      </c>
      <c r="C106" s="1">
        <v>361</v>
      </c>
      <c r="D106" s="1">
        <v>68200</v>
      </c>
      <c r="E106" s="1">
        <v>59.95</v>
      </c>
    </row>
    <row r="107" spans="1:5" x14ac:dyDescent="0.5">
      <c r="A107" s="1" t="s">
        <v>782</v>
      </c>
      <c r="B107" s="1">
        <v>67839</v>
      </c>
      <c r="C107" s="1">
        <v>361</v>
      </c>
      <c r="D107" s="1">
        <v>68200</v>
      </c>
      <c r="E107" s="1">
        <v>59.95</v>
      </c>
    </row>
    <row r="108" spans="1:5" x14ac:dyDescent="0.5">
      <c r="A108" s="1" t="s">
        <v>575</v>
      </c>
      <c r="B108" s="1">
        <v>62073</v>
      </c>
      <c r="C108" s="1">
        <v>82</v>
      </c>
      <c r="D108" s="1">
        <v>62155</v>
      </c>
      <c r="E108" s="1">
        <v>54.08</v>
      </c>
    </row>
    <row r="109" spans="1:5" x14ac:dyDescent="0.5">
      <c r="A109" s="1" t="s">
        <v>12</v>
      </c>
      <c r="B109" s="1">
        <v>62073</v>
      </c>
      <c r="C109" s="1">
        <v>82</v>
      </c>
      <c r="D109" s="1">
        <v>62155</v>
      </c>
      <c r="E109" s="1">
        <v>54.08</v>
      </c>
    </row>
    <row r="110" spans="1:5" x14ac:dyDescent="0.5">
      <c r="A110" s="1" t="s">
        <v>390</v>
      </c>
      <c r="B110" s="1">
        <v>144938</v>
      </c>
      <c r="C110" s="1">
        <v>1357</v>
      </c>
      <c r="D110" s="1">
        <v>146295</v>
      </c>
      <c r="E110" s="1">
        <v>52.46</v>
      </c>
    </row>
    <row r="111" spans="1:5" x14ac:dyDescent="0.5">
      <c r="A111" s="1" t="s">
        <v>782</v>
      </c>
      <c r="B111" s="1">
        <v>144938</v>
      </c>
      <c r="C111" s="1">
        <v>1357</v>
      </c>
      <c r="D111" s="1">
        <v>146295</v>
      </c>
      <c r="E111" s="1">
        <v>52.46</v>
      </c>
    </row>
    <row r="112" spans="1:5" x14ac:dyDescent="0.5">
      <c r="A112" s="1" t="s">
        <v>682</v>
      </c>
      <c r="B112" s="1">
        <v>62477</v>
      </c>
      <c r="C112" s="1">
        <v>311</v>
      </c>
      <c r="D112" s="1">
        <v>62788</v>
      </c>
      <c r="E112" s="1">
        <v>49.63</v>
      </c>
    </row>
    <row r="113" spans="1:5" x14ac:dyDescent="0.5">
      <c r="A113" s="1" t="s">
        <v>782</v>
      </c>
      <c r="B113" s="1">
        <v>62477</v>
      </c>
      <c r="C113" s="1">
        <v>311</v>
      </c>
      <c r="D113" s="1">
        <v>62788</v>
      </c>
      <c r="E113" s="1">
        <v>49.63</v>
      </c>
    </row>
    <row r="114" spans="1:5" x14ac:dyDescent="0.5">
      <c r="A114" s="1" t="s">
        <v>25</v>
      </c>
      <c r="B114" s="1">
        <v>120813</v>
      </c>
      <c r="C114" s="1">
        <v>368</v>
      </c>
      <c r="D114" s="1">
        <v>121181</v>
      </c>
      <c r="E114" s="1">
        <v>47.57</v>
      </c>
    </row>
    <row r="115" spans="1:5" x14ac:dyDescent="0.5">
      <c r="A115" s="1" t="s">
        <v>12</v>
      </c>
      <c r="B115" s="1">
        <v>120813</v>
      </c>
      <c r="C115" s="1">
        <v>368</v>
      </c>
      <c r="D115" s="1">
        <v>121181</v>
      </c>
      <c r="E115" s="1">
        <v>47.57</v>
      </c>
    </row>
    <row r="116" spans="1:5" x14ac:dyDescent="0.5">
      <c r="A116" s="1" t="s">
        <v>487</v>
      </c>
      <c r="B116" s="1">
        <v>39216</v>
      </c>
      <c r="C116" s="1">
        <v>348</v>
      </c>
      <c r="D116" s="1">
        <v>39564</v>
      </c>
      <c r="E116" s="1">
        <v>46.53</v>
      </c>
    </row>
    <row r="117" spans="1:5" x14ac:dyDescent="0.5">
      <c r="A117" s="1" t="s">
        <v>782</v>
      </c>
      <c r="B117" s="1">
        <v>39216</v>
      </c>
      <c r="C117" s="1">
        <v>348</v>
      </c>
      <c r="D117" s="1">
        <v>39564</v>
      </c>
      <c r="E117" s="1">
        <v>46.53</v>
      </c>
    </row>
    <row r="118" spans="1:5" x14ac:dyDescent="0.5">
      <c r="A118" s="1" t="s">
        <v>555</v>
      </c>
      <c r="B118" s="1">
        <v>49370</v>
      </c>
      <c r="C118" s="1">
        <v>224</v>
      </c>
      <c r="D118" s="1">
        <v>49594</v>
      </c>
      <c r="E118" s="1">
        <v>47.74</v>
      </c>
    </row>
    <row r="119" spans="1:5" x14ac:dyDescent="0.5">
      <c r="A119" s="1" t="s">
        <v>782</v>
      </c>
      <c r="B119" s="1">
        <v>49370</v>
      </c>
      <c r="C119" s="1">
        <v>224</v>
      </c>
      <c r="D119" s="1">
        <v>49594</v>
      </c>
      <c r="E119" s="1">
        <v>47.74</v>
      </c>
    </row>
    <row r="120" spans="1:5" x14ac:dyDescent="0.5">
      <c r="A120" s="1" t="s">
        <v>313</v>
      </c>
      <c r="B120" s="1">
        <v>49608</v>
      </c>
      <c r="C120" s="1">
        <v>571</v>
      </c>
      <c r="D120" s="1">
        <v>50179</v>
      </c>
      <c r="E120" s="1">
        <v>48.7</v>
      </c>
    </row>
    <row r="121" spans="1:5" x14ac:dyDescent="0.5">
      <c r="A121" s="1" t="s">
        <v>782</v>
      </c>
      <c r="B121" s="1">
        <v>49608</v>
      </c>
      <c r="C121" s="1">
        <v>571</v>
      </c>
      <c r="D121" s="1">
        <v>50179</v>
      </c>
      <c r="E121" s="1">
        <v>48.7</v>
      </c>
    </row>
    <row r="122" spans="1:5" x14ac:dyDescent="0.5">
      <c r="A122" s="1" t="s">
        <v>229</v>
      </c>
      <c r="B122" s="1">
        <v>56070</v>
      </c>
      <c r="C122" s="1">
        <v>107</v>
      </c>
      <c r="D122" s="1">
        <v>56177</v>
      </c>
      <c r="E122" s="1">
        <v>47.45</v>
      </c>
    </row>
    <row r="123" spans="1:5" x14ac:dyDescent="0.5">
      <c r="A123" s="1" t="s">
        <v>12</v>
      </c>
      <c r="B123" s="1">
        <v>56070</v>
      </c>
      <c r="C123" s="1">
        <v>107</v>
      </c>
      <c r="D123" s="1">
        <v>56177</v>
      </c>
      <c r="E123" s="1">
        <v>47.45</v>
      </c>
    </row>
    <row r="124" spans="1:5" x14ac:dyDescent="0.5">
      <c r="A124" s="1" t="s">
        <v>745</v>
      </c>
      <c r="B124" s="1">
        <v>80086</v>
      </c>
      <c r="C124" s="1">
        <v>418</v>
      </c>
      <c r="D124" s="1">
        <v>80504</v>
      </c>
      <c r="E124" s="1">
        <v>48.48</v>
      </c>
    </row>
    <row r="125" spans="1:5" x14ac:dyDescent="0.5">
      <c r="A125" s="1" t="s">
        <v>12</v>
      </c>
      <c r="B125" s="1">
        <v>80086</v>
      </c>
      <c r="C125" s="1">
        <v>418</v>
      </c>
      <c r="D125" s="1">
        <v>80504</v>
      </c>
      <c r="E125" s="1">
        <v>48.48</v>
      </c>
    </row>
    <row r="126" spans="1:5" x14ac:dyDescent="0.5">
      <c r="A126" s="1" t="s">
        <v>51</v>
      </c>
      <c r="B126" s="1">
        <v>55626</v>
      </c>
      <c r="C126" s="1">
        <v>315</v>
      </c>
      <c r="D126" s="1">
        <v>55941</v>
      </c>
      <c r="E126" s="1">
        <v>46.03</v>
      </c>
    </row>
    <row r="127" spans="1:5" x14ac:dyDescent="0.5">
      <c r="A127" s="1" t="s">
        <v>782</v>
      </c>
      <c r="B127" s="1">
        <v>55626</v>
      </c>
      <c r="C127" s="1">
        <v>315</v>
      </c>
      <c r="D127" s="1">
        <v>55941</v>
      </c>
      <c r="E127" s="1">
        <v>46.03</v>
      </c>
    </row>
    <row r="128" spans="1:5" x14ac:dyDescent="0.5">
      <c r="A128" s="1" t="s">
        <v>469</v>
      </c>
      <c r="B128" s="1">
        <v>38675</v>
      </c>
      <c r="C128" s="1">
        <v>184</v>
      </c>
      <c r="D128" s="1">
        <v>38859</v>
      </c>
      <c r="E128" s="1">
        <v>45.44</v>
      </c>
    </row>
    <row r="129" spans="1:5" x14ac:dyDescent="0.5">
      <c r="A129" s="1" t="s">
        <v>782</v>
      </c>
      <c r="B129" s="1">
        <v>38675</v>
      </c>
      <c r="C129" s="1">
        <v>184</v>
      </c>
      <c r="D129" s="1">
        <v>38859</v>
      </c>
      <c r="E129" s="1">
        <v>45.44</v>
      </c>
    </row>
    <row r="130" spans="1:5" x14ac:dyDescent="0.5">
      <c r="A130" s="1" t="s">
        <v>201</v>
      </c>
      <c r="B130" s="1">
        <v>58836</v>
      </c>
      <c r="C130" s="1">
        <v>237</v>
      </c>
      <c r="D130" s="1">
        <v>59073</v>
      </c>
      <c r="E130" s="1">
        <v>53.36</v>
      </c>
    </row>
    <row r="131" spans="1:5" x14ac:dyDescent="0.5">
      <c r="A131" s="1" t="s">
        <v>782</v>
      </c>
      <c r="B131" s="1">
        <v>58836</v>
      </c>
      <c r="C131" s="1">
        <v>237</v>
      </c>
      <c r="D131" s="1">
        <v>59073</v>
      </c>
      <c r="E131" s="1">
        <v>53.36</v>
      </c>
    </row>
    <row r="132" spans="1:5" x14ac:dyDescent="0.5">
      <c r="A132" s="1" t="s">
        <v>435</v>
      </c>
      <c r="B132" s="1">
        <v>46391</v>
      </c>
      <c r="C132" s="1">
        <v>280</v>
      </c>
      <c r="D132" s="1">
        <v>46671</v>
      </c>
      <c r="E132" s="1">
        <v>48.01</v>
      </c>
    </row>
    <row r="133" spans="1:5" x14ac:dyDescent="0.5">
      <c r="A133" s="1" t="s">
        <v>782</v>
      </c>
      <c r="B133" s="1">
        <v>46391</v>
      </c>
      <c r="C133" s="1">
        <v>280</v>
      </c>
      <c r="D133" s="1">
        <v>46671</v>
      </c>
      <c r="E133" s="1">
        <v>48.01</v>
      </c>
    </row>
    <row r="134" spans="1:5" x14ac:dyDescent="0.5">
      <c r="A134" s="1" t="s">
        <v>692</v>
      </c>
      <c r="B134" s="1">
        <v>66186</v>
      </c>
      <c r="C134" s="1">
        <v>167</v>
      </c>
      <c r="D134" s="1">
        <v>66353</v>
      </c>
      <c r="E134" s="1">
        <v>48.45</v>
      </c>
    </row>
    <row r="135" spans="1:5" x14ac:dyDescent="0.5">
      <c r="A135" s="1" t="s">
        <v>12</v>
      </c>
      <c r="B135" s="1">
        <v>66186</v>
      </c>
      <c r="C135" s="1">
        <v>167</v>
      </c>
      <c r="D135" s="1">
        <v>66353</v>
      </c>
      <c r="E135" s="1">
        <v>48.45</v>
      </c>
    </row>
    <row r="136" spans="1:5" x14ac:dyDescent="0.5">
      <c r="A136" s="1" t="s">
        <v>176</v>
      </c>
      <c r="B136" s="1">
        <v>69890</v>
      </c>
      <c r="C136" s="1">
        <v>475</v>
      </c>
      <c r="D136" s="1">
        <v>70365</v>
      </c>
      <c r="E136" s="1">
        <v>65.010000000000005</v>
      </c>
    </row>
    <row r="137" spans="1:5" x14ac:dyDescent="0.5">
      <c r="A137" s="1" t="s">
        <v>782</v>
      </c>
      <c r="B137" s="1">
        <v>69890</v>
      </c>
      <c r="C137" s="1">
        <v>475</v>
      </c>
      <c r="D137" s="1">
        <v>70365</v>
      </c>
      <c r="E137" s="1">
        <v>65.010000000000005</v>
      </c>
    </row>
    <row r="138" spans="1:5" x14ac:dyDescent="0.5">
      <c r="A138" s="1" t="s">
        <v>432</v>
      </c>
      <c r="B138" s="1">
        <v>22140</v>
      </c>
      <c r="C138" s="1">
        <v>51</v>
      </c>
      <c r="D138" s="1">
        <v>22191</v>
      </c>
      <c r="E138" s="1">
        <v>46.76</v>
      </c>
    </row>
    <row r="139" spans="1:5" x14ac:dyDescent="0.5">
      <c r="A139" s="1" t="s">
        <v>12</v>
      </c>
      <c r="B139" s="1">
        <v>22140</v>
      </c>
      <c r="C139" s="1">
        <v>51</v>
      </c>
      <c r="D139" s="1">
        <v>22191</v>
      </c>
      <c r="E139" s="1">
        <v>46.76</v>
      </c>
    </row>
    <row r="140" spans="1:5" x14ac:dyDescent="0.5">
      <c r="A140" s="1" t="s">
        <v>271</v>
      </c>
      <c r="B140" s="1">
        <v>52153</v>
      </c>
      <c r="C140" s="1">
        <v>144</v>
      </c>
      <c r="D140" s="1">
        <v>52297</v>
      </c>
      <c r="E140" s="1">
        <v>50.88</v>
      </c>
    </row>
    <row r="141" spans="1:5" x14ac:dyDescent="0.5">
      <c r="A141" s="1" t="s">
        <v>12</v>
      </c>
      <c r="B141" s="1">
        <v>52153</v>
      </c>
      <c r="C141" s="1">
        <v>144</v>
      </c>
      <c r="D141" s="1">
        <v>52297</v>
      </c>
      <c r="E141" s="1">
        <v>50.88</v>
      </c>
    </row>
    <row r="142" spans="1:5" x14ac:dyDescent="0.5">
      <c r="A142" s="1" t="s">
        <v>784</v>
      </c>
      <c r="B142" s="1">
        <v>4769605</v>
      </c>
      <c r="C142" s="1">
        <v>21978</v>
      </c>
      <c r="D142" s="1">
        <v>4791583</v>
      </c>
      <c r="E142" s="1">
        <v>3541.4400000000005</v>
      </c>
    </row>
  </sheetData>
  <mergeCells count="1">
    <mergeCell ref="A1: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 of Delhi Election.</vt:lpstr>
      <vt:lpstr>Pivot Table (01)</vt:lpstr>
      <vt:lpstr>Pivot Table (02)</vt:lpstr>
      <vt:lpstr>Pivot Table (03)</vt:lpstr>
      <vt:lpstr>Pivot Table (04)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Singh</dc:creator>
  <cp:lastModifiedBy>Adesh Kumar Singh</cp:lastModifiedBy>
  <dcterms:created xsi:type="dcterms:W3CDTF">2025-09-30T05:07:05Z</dcterms:created>
  <dcterms:modified xsi:type="dcterms:W3CDTF">2025-11-12T16:56:03Z</dcterms:modified>
</cp:coreProperties>
</file>