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iva singh\Excel Work\Assignments\"/>
    </mc:Choice>
  </mc:AlternateContent>
  <xr:revisionPtr revIDLastSave="0" documentId="8_{73BA4408-2AD4-4F75-89FE-4352374FDB5A}" xr6:coauthVersionLast="47" xr6:coauthVersionMax="47" xr10:uidLastSave="{00000000-0000-0000-0000-000000000000}"/>
  <bookViews>
    <workbookView xWindow="-108" yWindow="-108" windowWidth="23256" windowHeight="13176" xr2:uid="{69AE44D6-EAF9-49F1-AC34-153E92A62F84}"/>
  </bookViews>
  <sheets>
    <sheet name="Vlookup_Sheet" sheetId="2" r:id="rId1"/>
    <sheet name="Hlookup_Shee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2" l="1"/>
  <c r="I14" i="2"/>
  <c r="C23" i="2"/>
  <c r="H23" i="2"/>
  <c r="M23" i="2"/>
  <c r="C24" i="2"/>
  <c r="H24" i="2"/>
  <c r="M24" i="2"/>
  <c r="K4" i="1"/>
  <c r="L4" i="1"/>
  <c r="M4" i="1"/>
  <c r="K10" i="1"/>
  <c r="L10" i="1"/>
  <c r="M10" i="1"/>
  <c r="K15" i="1"/>
  <c r="L15" i="1"/>
  <c r="M15" i="1"/>
  <c r="K21" i="1"/>
  <c r="L21" i="1"/>
  <c r="M21" i="1"/>
</calcChain>
</file>

<file path=xl/sharedStrings.xml><?xml version="1.0" encoding="utf-8"?>
<sst xmlns="http://schemas.openxmlformats.org/spreadsheetml/2006/main" count="182" uniqueCount="58">
  <si>
    <t>Credit</t>
  </si>
  <si>
    <t>3-4 years</t>
  </si>
  <si>
    <t>4 years</t>
  </si>
  <si>
    <t>Duration_of_Course</t>
  </si>
  <si>
    <t>Information</t>
  </si>
  <si>
    <t>Mechanical_Engineering</t>
  </si>
  <si>
    <t>Computer_Science</t>
  </si>
  <si>
    <t>Dept_Name</t>
  </si>
  <si>
    <t>Hlookup</t>
  </si>
  <si>
    <t>Data_Science</t>
  </si>
  <si>
    <t>Structural_Engineering</t>
  </si>
  <si>
    <t>Mechanical_Design</t>
  </si>
  <si>
    <t>Electrical</t>
  </si>
  <si>
    <t>Major_Subject</t>
  </si>
  <si>
    <t>Q2.(iv) Using name of department find the credit.</t>
  </si>
  <si>
    <t>Table_04: Major_Subjet_Details</t>
  </si>
  <si>
    <t>D5</t>
  </si>
  <si>
    <t>D3</t>
  </si>
  <si>
    <t>D1</t>
  </si>
  <si>
    <t>Dept_id</t>
  </si>
  <si>
    <t>Civil_Engineering</t>
  </si>
  <si>
    <t>Electrical_Engineering</t>
  </si>
  <si>
    <t>Dr.Khan</t>
  </si>
  <si>
    <t>Dr.Sharma</t>
  </si>
  <si>
    <t>Dr.Patil</t>
  </si>
  <si>
    <t>Dr.Singh</t>
  </si>
  <si>
    <t>Dr.Kumar</t>
  </si>
  <si>
    <t>HOD'S_Name</t>
  </si>
  <si>
    <t>Q2.(iii) Using department id find the major subject.</t>
  </si>
  <si>
    <t>Table_03: Department_Details</t>
  </si>
  <si>
    <t>HOD</t>
  </si>
  <si>
    <t>Salmaan</t>
  </si>
  <si>
    <t>Vikas</t>
  </si>
  <si>
    <t>Adesh</t>
  </si>
  <si>
    <t>Name</t>
  </si>
  <si>
    <t>D4</t>
  </si>
  <si>
    <t>D2</t>
  </si>
  <si>
    <t>Q2.(ii) Using name of student find the HOD.</t>
  </si>
  <si>
    <t>Table_02: Department_Info</t>
  </si>
  <si>
    <t>Mr.Nitish</t>
  </si>
  <si>
    <t>Mr.Abhishek</t>
  </si>
  <si>
    <t>Mrs.Neema</t>
  </si>
  <si>
    <t>Mr.Gaurav</t>
  </si>
  <si>
    <t>Mr.Dheeraj</t>
  </si>
  <si>
    <t>Class_teacher</t>
  </si>
  <si>
    <t>Zohan</t>
  </si>
  <si>
    <t>Rahul</t>
  </si>
  <si>
    <t>Q2.(i) Prepare a HLOOKUP and find the total duration of student engaged in class to pass their respective class.</t>
  </si>
  <si>
    <t>Table_01:  Student_Info</t>
  </si>
  <si>
    <t>Vlookup</t>
  </si>
  <si>
    <t>Q1.(iv) Using name of department find the credit.</t>
  </si>
  <si>
    <t>Q1.(iii) Using department id find the major subject.</t>
  </si>
  <si>
    <t>Q1.(ii) Using name of student find the HOD.</t>
  </si>
  <si>
    <t>Q1.(i) Prepare a VLOOKUP and find the total duration of student engaged in class to pass their respective class.</t>
  </si>
  <si>
    <r>
      <t xml:space="preserve">Table_04: </t>
    </r>
    <r>
      <rPr>
        <b/>
        <sz val="10"/>
        <color theme="1"/>
        <rFont val="Algerian"/>
        <family val="5"/>
      </rPr>
      <t>Major_Subjet_Details</t>
    </r>
  </si>
  <si>
    <r>
      <t xml:space="preserve">Table_03: </t>
    </r>
    <r>
      <rPr>
        <b/>
        <sz val="10"/>
        <color theme="1"/>
        <rFont val="Algerian"/>
        <family val="5"/>
      </rPr>
      <t>Department_Details</t>
    </r>
  </si>
  <si>
    <r>
      <t xml:space="preserve">Table_02: </t>
    </r>
    <r>
      <rPr>
        <b/>
        <sz val="10"/>
        <color theme="1"/>
        <rFont val="Algerian"/>
        <family val="5"/>
      </rPr>
      <t>Department_Info</t>
    </r>
  </si>
  <si>
    <r>
      <t xml:space="preserve">Table_01: </t>
    </r>
    <r>
      <rPr>
        <b/>
        <sz val="8"/>
        <color theme="1"/>
        <rFont val="Algerian"/>
        <family val="5"/>
      </rPr>
      <t xml:space="preserve"> </t>
    </r>
    <r>
      <rPr>
        <b/>
        <sz val="10"/>
        <color theme="1"/>
        <rFont val="Algerian"/>
        <family val="5"/>
      </rPr>
      <t>Student_Info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</si>
</sst>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lgerian"/>
      <family val="5"/>
    </font>
    <font>
      <b/>
      <sz val="10"/>
      <color theme="1"/>
      <name val="Algerian"/>
      <family val="5"/>
    </font>
    <font>
      <b/>
      <sz val="12"/>
      <color theme="1"/>
      <name val="Calibri"/>
      <family val="2"/>
      <scheme val="minor"/>
    </font>
    <font>
      <b/>
      <sz val="12"/>
      <color theme="1"/>
      <name val="Algerian"/>
      <family val="5"/>
    </font>
    <font>
      <b/>
      <sz val="14"/>
      <color theme="1"/>
      <name val="Algerian"/>
      <family val="5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8"/>
      <color theme="1"/>
      <name val="Algerian"/>
      <family val="5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BBB5DD"/>
        <bgColor indexed="64"/>
      </patternFill>
    </fill>
    <fill>
      <patternFill patternType="solid">
        <fgColor rgb="FFF4AF8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6" borderId="0" xfId="0" applyFill="1"/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50E5-DC96-46B7-9E2D-F7AD560ED38E}">
  <dimension ref="A1:N24"/>
  <sheetViews>
    <sheetView tabSelected="1" workbookViewId="0">
      <selection activeCell="I13" sqref="I13"/>
    </sheetView>
  </sheetViews>
  <sheetFormatPr defaultRowHeight="14.4" x14ac:dyDescent="0.3"/>
  <cols>
    <col min="1" max="1" width="11.109375" customWidth="1"/>
    <col min="2" max="2" width="11.5546875" customWidth="1"/>
    <col min="3" max="3" width="14.109375" customWidth="1"/>
    <col min="5" max="5" width="19.77734375" customWidth="1"/>
    <col min="6" max="6" width="19" customWidth="1"/>
    <col min="8" max="8" width="16.77734375" bestFit="1" customWidth="1"/>
    <col min="9" max="9" width="20.88671875" bestFit="1" customWidth="1"/>
    <col min="10" max="10" width="19.44140625" bestFit="1" customWidth="1"/>
    <col min="12" max="12" width="20.88671875" bestFit="1" customWidth="1"/>
    <col min="13" max="13" width="12.44140625" customWidth="1"/>
    <col min="14" max="14" width="18.109375" bestFit="1" customWidth="1"/>
  </cols>
  <sheetData>
    <row r="1" spans="1:14" ht="19.8" x14ac:dyDescent="0.3">
      <c r="A1" s="19" t="s">
        <v>57</v>
      </c>
      <c r="B1" s="19"/>
      <c r="C1" s="19"/>
      <c r="E1" s="19" t="s">
        <v>56</v>
      </c>
      <c r="F1" s="19"/>
      <c r="H1" s="18" t="s">
        <v>55</v>
      </c>
      <c r="I1" s="17"/>
      <c r="J1" s="16"/>
      <c r="L1" s="18" t="s">
        <v>54</v>
      </c>
      <c r="M1" s="17"/>
      <c r="N1" s="16"/>
    </row>
    <row r="2" spans="1:14" x14ac:dyDescent="0.3">
      <c r="A2" s="2" t="s">
        <v>34</v>
      </c>
      <c r="B2" s="2" t="s">
        <v>19</v>
      </c>
      <c r="C2" s="2" t="s">
        <v>44</v>
      </c>
      <c r="E2" s="2" t="s">
        <v>19</v>
      </c>
      <c r="F2" s="2" t="s">
        <v>30</v>
      </c>
      <c r="H2" s="2" t="s">
        <v>27</v>
      </c>
      <c r="I2" s="2" t="s">
        <v>7</v>
      </c>
      <c r="J2" s="2" t="s">
        <v>13</v>
      </c>
      <c r="L2" s="2" t="s">
        <v>13</v>
      </c>
      <c r="M2" s="2" t="s">
        <v>0</v>
      </c>
      <c r="N2" s="2" t="s">
        <v>3</v>
      </c>
    </row>
    <row r="3" spans="1:14" x14ac:dyDescent="0.3">
      <c r="A3" s="7" t="s">
        <v>33</v>
      </c>
      <c r="B3" s="7" t="s">
        <v>18</v>
      </c>
      <c r="C3" s="7" t="s">
        <v>43</v>
      </c>
      <c r="E3" s="7" t="s">
        <v>18</v>
      </c>
      <c r="F3" s="7" t="s">
        <v>26</v>
      </c>
      <c r="G3" s="15"/>
      <c r="H3" s="7" t="s">
        <v>26</v>
      </c>
      <c r="I3" s="7" t="s">
        <v>6</v>
      </c>
      <c r="J3" s="7" t="s">
        <v>6</v>
      </c>
      <c r="K3" s="15"/>
      <c r="L3" s="7" t="s">
        <v>6</v>
      </c>
      <c r="M3" s="7">
        <v>140</v>
      </c>
      <c r="N3" s="7" t="s">
        <v>2</v>
      </c>
    </row>
    <row r="4" spans="1:14" x14ac:dyDescent="0.3">
      <c r="A4" s="7" t="s">
        <v>46</v>
      </c>
      <c r="B4" s="7" t="s">
        <v>36</v>
      </c>
      <c r="C4" s="7" t="s">
        <v>42</v>
      </c>
      <c r="E4" s="7" t="s">
        <v>36</v>
      </c>
      <c r="F4" s="7" t="s">
        <v>25</v>
      </c>
      <c r="G4" s="15"/>
      <c r="H4" s="7" t="s">
        <v>25</v>
      </c>
      <c r="I4" s="7" t="s">
        <v>21</v>
      </c>
      <c r="J4" s="7" t="s">
        <v>12</v>
      </c>
      <c r="K4" s="15"/>
      <c r="L4" s="7" t="s">
        <v>12</v>
      </c>
      <c r="M4" s="7">
        <v>150</v>
      </c>
      <c r="N4" s="7" t="s">
        <v>2</v>
      </c>
    </row>
    <row r="5" spans="1:14" x14ac:dyDescent="0.3">
      <c r="A5" s="7" t="s">
        <v>32</v>
      </c>
      <c r="B5" s="7" t="s">
        <v>17</v>
      </c>
      <c r="C5" s="7" t="s">
        <v>41</v>
      </c>
      <c r="E5" s="7" t="s">
        <v>17</v>
      </c>
      <c r="F5" s="7" t="s">
        <v>24</v>
      </c>
      <c r="G5" s="15"/>
      <c r="H5" s="7" t="s">
        <v>24</v>
      </c>
      <c r="I5" s="7" t="s">
        <v>5</v>
      </c>
      <c r="J5" s="7" t="s">
        <v>11</v>
      </c>
      <c r="K5" s="15"/>
      <c r="L5" s="7" t="s">
        <v>11</v>
      </c>
      <c r="M5" s="7">
        <v>160</v>
      </c>
      <c r="N5" s="7" t="s">
        <v>2</v>
      </c>
    </row>
    <row r="6" spans="1:14" x14ac:dyDescent="0.3">
      <c r="A6" s="7" t="s">
        <v>45</v>
      </c>
      <c r="B6" s="7" t="s">
        <v>35</v>
      </c>
      <c r="C6" s="7" t="s">
        <v>40</v>
      </c>
      <c r="E6" s="7" t="s">
        <v>35</v>
      </c>
      <c r="F6" s="7" t="s">
        <v>23</v>
      </c>
      <c r="G6" s="15"/>
      <c r="H6" s="7" t="s">
        <v>23</v>
      </c>
      <c r="I6" s="7" t="s">
        <v>20</v>
      </c>
      <c r="J6" s="7" t="s">
        <v>10</v>
      </c>
      <c r="K6" s="15"/>
      <c r="L6" s="7" t="s">
        <v>10</v>
      </c>
      <c r="M6" s="7">
        <v>170</v>
      </c>
      <c r="N6" s="7" t="s">
        <v>2</v>
      </c>
    </row>
    <row r="7" spans="1:14" x14ac:dyDescent="0.3">
      <c r="A7" s="7" t="s">
        <v>31</v>
      </c>
      <c r="B7" s="7" t="s">
        <v>16</v>
      </c>
      <c r="C7" s="7" t="s">
        <v>39</v>
      </c>
      <c r="E7" s="7" t="s">
        <v>16</v>
      </c>
      <c r="F7" s="7" t="s">
        <v>22</v>
      </c>
      <c r="G7" s="15"/>
      <c r="H7" s="7" t="s">
        <v>22</v>
      </c>
      <c r="I7" s="7" t="s">
        <v>4</v>
      </c>
      <c r="J7" s="7" t="s">
        <v>9</v>
      </c>
      <c r="K7" s="15"/>
      <c r="L7" s="7" t="s">
        <v>9</v>
      </c>
      <c r="M7" s="7">
        <v>120</v>
      </c>
      <c r="N7" s="7" t="s">
        <v>1</v>
      </c>
    </row>
    <row r="10" spans="1:14" ht="16.2" x14ac:dyDescent="0.3">
      <c r="E10" s="20" t="s">
        <v>53</v>
      </c>
      <c r="F10" s="20"/>
      <c r="G10" s="20"/>
      <c r="H10" s="20"/>
      <c r="I10" s="20"/>
      <c r="J10" s="20"/>
      <c r="K10" s="20"/>
      <c r="L10" s="20"/>
    </row>
    <row r="11" spans="1:14" ht="19.8" x14ac:dyDescent="0.3">
      <c r="H11" s="12" t="s">
        <v>49</v>
      </c>
      <c r="I11" s="12"/>
    </row>
    <row r="12" spans="1:14" x14ac:dyDescent="0.3">
      <c r="H12" s="2" t="s">
        <v>34</v>
      </c>
      <c r="I12" s="2" t="s">
        <v>3</v>
      </c>
    </row>
    <row r="13" spans="1:14" x14ac:dyDescent="0.3">
      <c r="H13" s="7" t="s">
        <v>33</v>
      </c>
      <c r="I13" s="7" t="str">
        <f>VLOOKUP(VLOOKUP(VLOOKUP(VLOOKUP(H13,A2:C7,2,0),E2:F7,2,0),H2:J7,3,0),L2:N7,3,0)</f>
        <v>4 years</v>
      </c>
    </row>
    <row r="14" spans="1:14" x14ac:dyDescent="0.3">
      <c r="H14" s="7" t="s">
        <v>31</v>
      </c>
      <c r="I14" s="7" t="str">
        <f>VLOOKUP(VLOOKUP(VLOOKUP(VLOOKUP(H14,A3:C8,2,0),E3:F8,2,0),H3:J8,3,0),L3:N8,3,0)</f>
        <v>3-4 years</v>
      </c>
    </row>
    <row r="20" spans="1:14" ht="16.2" x14ac:dyDescent="0.3">
      <c r="A20" s="21" t="s">
        <v>52</v>
      </c>
      <c r="B20" s="21"/>
      <c r="C20" s="21"/>
      <c r="D20" s="21"/>
      <c r="E20" s="14"/>
      <c r="F20" s="21" t="s">
        <v>51</v>
      </c>
      <c r="G20" s="21"/>
      <c r="H20" s="21"/>
      <c r="I20" s="21"/>
      <c r="K20" s="21" t="s">
        <v>50</v>
      </c>
      <c r="L20" s="21"/>
      <c r="M20" s="21"/>
      <c r="N20" s="21"/>
    </row>
    <row r="21" spans="1:14" ht="19.8" x14ac:dyDescent="0.3">
      <c r="A21" s="13"/>
      <c r="B21" s="12" t="s">
        <v>49</v>
      </c>
      <c r="C21" s="11"/>
      <c r="G21" s="12" t="s">
        <v>49</v>
      </c>
      <c r="H21" s="11"/>
      <c r="L21" s="10" t="s">
        <v>49</v>
      </c>
      <c r="M21" s="9"/>
    </row>
    <row r="22" spans="1:14" ht="15.6" x14ac:dyDescent="0.3">
      <c r="B22" s="2" t="s">
        <v>34</v>
      </c>
      <c r="C22" s="2" t="s">
        <v>30</v>
      </c>
      <c r="G22" s="2" t="s">
        <v>19</v>
      </c>
      <c r="H22" s="8" t="s">
        <v>13</v>
      </c>
      <c r="L22" s="8" t="s">
        <v>7</v>
      </c>
      <c r="M22" s="8" t="s">
        <v>0</v>
      </c>
    </row>
    <row r="23" spans="1:14" x14ac:dyDescent="0.3">
      <c r="B23" s="7" t="s">
        <v>33</v>
      </c>
      <c r="C23" s="7" t="str">
        <f>VLOOKUP(VLOOKUP(B23,A2:C7,2,0),E2:F7,2,0)</f>
        <v>Dr.Kumar</v>
      </c>
      <c r="G23" s="7" t="s">
        <v>18</v>
      </c>
      <c r="H23" s="7" t="str">
        <f>VLOOKUP(VLOOKUP(G23,E2:F7,2,0),H2:J7,3,0)</f>
        <v>Computer_Science</v>
      </c>
      <c r="L23" s="7" t="s">
        <v>6</v>
      </c>
      <c r="M23" s="7">
        <f>VLOOKUP(VLOOKUP(L23,I2:J7,2,0),L2:N7,2,0)</f>
        <v>140</v>
      </c>
    </row>
    <row r="24" spans="1:14" x14ac:dyDescent="0.3">
      <c r="B24" s="7" t="s">
        <v>32</v>
      </c>
      <c r="C24" s="7" t="str">
        <f>VLOOKUP(VLOOKUP(B24,A3:C8,2,0),E3:F8,2,0)</f>
        <v>Dr.Patil</v>
      </c>
      <c r="G24" s="7" t="s">
        <v>17</v>
      </c>
      <c r="H24" s="7" t="str">
        <f>VLOOKUP(VLOOKUP(G24,E3:F8,2,0),H3:J8,3,0)</f>
        <v>Mechanical_Design</v>
      </c>
      <c r="L24" s="7" t="s">
        <v>5</v>
      </c>
      <c r="M24" s="7">
        <f>VLOOKUP(VLOOKUP(L24,I3:J8,2,0),L3:N8,2,0)</f>
        <v>160</v>
      </c>
    </row>
  </sheetData>
  <mergeCells count="12">
    <mergeCell ref="H11:I11"/>
    <mergeCell ref="E10:L10"/>
    <mergeCell ref="L21:M21"/>
    <mergeCell ref="B21:C21"/>
    <mergeCell ref="A20:D20"/>
    <mergeCell ref="F20:I20"/>
    <mergeCell ref="G21:H21"/>
    <mergeCell ref="A1:C1"/>
    <mergeCell ref="E1:F1"/>
    <mergeCell ref="H1:J1"/>
    <mergeCell ref="L1:N1"/>
    <mergeCell ref="K20:N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6A5A9-A42E-4460-854C-6ABED003DC10}">
  <dimension ref="A1:O21"/>
  <sheetViews>
    <sheetView zoomScale="82" workbookViewId="0">
      <selection activeCell="I24" sqref="I24"/>
    </sheetView>
  </sheetViews>
  <sheetFormatPr defaultRowHeight="14.4" x14ac:dyDescent="0.3"/>
  <cols>
    <col min="1" max="1" width="18.109375" bestFit="1" customWidth="1"/>
    <col min="2" max="2" width="16.33203125" bestFit="1" customWidth="1"/>
    <col min="3" max="3" width="19" bestFit="1" customWidth="1"/>
    <col min="4" max="4" width="20.88671875" bestFit="1" customWidth="1"/>
    <col min="5" max="5" width="19.44140625" bestFit="1" customWidth="1"/>
    <col min="6" max="6" width="12" bestFit="1" customWidth="1"/>
    <col min="10" max="10" width="18.109375" bestFit="1" customWidth="1"/>
    <col min="11" max="11" width="16.33203125" bestFit="1" customWidth="1"/>
    <col min="12" max="12" width="20.88671875" bestFit="1" customWidth="1"/>
    <col min="13" max="13" width="12" bestFit="1" customWidth="1"/>
    <col min="14" max="14" width="11.5546875" customWidth="1"/>
  </cols>
  <sheetData>
    <row r="1" spans="1:15" ht="22.8" x14ac:dyDescent="0.3">
      <c r="A1" s="5" t="s">
        <v>48</v>
      </c>
      <c r="B1" s="5"/>
      <c r="C1" s="5"/>
      <c r="D1" s="5"/>
      <c r="E1" s="5"/>
      <c r="F1" s="5"/>
      <c r="H1" s="6" t="s">
        <v>47</v>
      </c>
      <c r="I1" s="6"/>
      <c r="J1" s="6"/>
      <c r="K1" s="6"/>
      <c r="L1" s="6"/>
      <c r="M1" s="6"/>
      <c r="N1" s="6"/>
      <c r="O1" s="6"/>
    </row>
    <row r="2" spans="1:15" ht="22.8" x14ac:dyDescent="0.3">
      <c r="A2" s="2" t="s">
        <v>34</v>
      </c>
      <c r="B2" s="1" t="s">
        <v>33</v>
      </c>
      <c r="C2" s="1" t="s">
        <v>46</v>
      </c>
      <c r="D2" s="1" t="s">
        <v>32</v>
      </c>
      <c r="E2" s="1" t="s">
        <v>45</v>
      </c>
      <c r="F2" s="1" t="s">
        <v>31</v>
      </c>
      <c r="J2" s="3" t="s">
        <v>8</v>
      </c>
      <c r="K2" s="3"/>
      <c r="L2" s="3"/>
      <c r="M2" s="3"/>
    </row>
    <row r="3" spans="1:15" x14ac:dyDescent="0.3">
      <c r="A3" s="2" t="s">
        <v>19</v>
      </c>
      <c r="B3" s="1" t="s">
        <v>18</v>
      </c>
      <c r="C3" s="1" t="s">
        <v>36</v>
      </c>
      <c r="D3" s="1" t="s">
        <v>17</v>
      </c>
      <c r="E3" s="1" t="s">
        <v>35</v>
      </c>
      <c r="F3" s="1" t="s">
        <v>16</v>
      </c>
      <c r="J3" s="2" t="s">
        <v>34</v>
      </c>
      <c r="K3" s="1" t="s">
        <v>33</v>
      </c>
      <c r="L3" s="1" t="s">
        <v>32</v>
      </c>
      <c r="M3" s="1" t="s">
        <v>31</v>
      </c>
    </row>
    <row r="4" spans="1:15" x14ac:dyDescent="0.3">
      <c r="A4" s="2" t="s">
        <v>44</v>
      </c>
      <c r="B4" s="1" t="s">
        <v>43</v>
      </c>
      <c r="C4" s="1" t="s">
        <v>42</v>
      </c>
      <c r="D4" s="1" t="s">
        <v>41</v>
      </c>
      <c r="E4" s="1" t="s">
        <v>40</v>
      </c>
      <c r="F4" s="1" t="s">
        <v>39</v>
      </c>
      <c r="J4" s="2" t="s">
        <v>3</v>
      </c>
      <c r="K4" s="1" t="str">
        <f>HLOOKUP(HLOOKUP(HLOOKUP(HLOOKUP(K3,A2:F4,2,0),A8:F9,2,0),A13:F15,3,0),A19:F21,3,0)</f>
        <v>4 years</v>
      </c>
      <c r="L4" s="1" t="str">
        <f>HLOOKUP(HLOOKUP(HLOOKUP(HLOOKUP(L3,B2:G4,2,0),B8:G9,2,0),B13:G15,3,0),B19:G21,3,0)</f>
        <v>4 years</v>
      </c>
      <c r="M4" s="1" t="str">
        <f>HLOOKUP(HLOOKUP(HLOOKUP(HLOOKUP(M3,C2:G4,2,0),C8:H9,2,0),C13:H15,3,0),C19:H21,3,0)</f>
        <v>3-4 years</v>
      </c>
    </row>
    <row r="7" spans="1:15" ht="22.8" x14ac:dyDescent="0.3">
      <c r="A7" s="5" t="s">
        <v>38</v>
      </c>
      <c r="B7" s="5"/>
      <c r="C7" s="5"/>
      <c r="D7" s="5"/>
      <c r="E7" s="5"/>
      <c r="F7" s="5"/>
      <c r="I7" s="4" t="s">
        <v>37</v>
      </c>
      <c r="J7" s="4"/>
      <c r="K7" s="4"/>
      <c r="L7" s="4"/>
      <c r="M7" s="4"/>
      <c r="N7" s="4"/>
    </row>
    <row r="8" spans="1:15" ht="22.8" x14ac:dyDescent="0.3">
      <c r="A8" s="2" t="s">
        <v>19</v>
      </c>
      <c r="B8" s="1" t="s">
        <v>18</v>
      </c>
      <c r="C8" s="1" t="s">
        <v>36</v>
      </c>
      <c r="D8" s="1" t="s">
        <v>17</v>
      </c>
      <c r="E8" s="1" t="s">
        <v>35</v>
      </c>
      <c r="F8" s="1" t="s">
        <v>16</v>
      </c>
      <c r="J8" s="3" t="s">
        <v>8</v>
      </c>
      <c r="K8" s="3"/>
      <c r="L8" s="3"/>
      <c r="M8" s="3"/>
    </row>
    <row r="9" spans="1:15" x14ac:dyDescent="0.3">
      <c r="A9" s="2" t="s">
        <v>30</v>
      </c>
      <c r="B9" s="1" t="s">
        <v>26</v>
      </c>
      <c r="C9" s="1" t="s">
        <v>25</v>
      </c>
      <c r="D9" s="1" t="s">
        <v>24</v>
      </c>
      <c r="E9" s="1" t="s">
        <v>23</v>
      </c>
      <c r="F9" s="1" t="s">
        <v>22</v>
      </c>
      <c r="J9" s="2" t="s">
        <v>34</v>
      </c>
      <c r="K9" s="1" t="s">
        <v>33</v>
      </c>
      <c r="L9" s="1" t="s">
        <v>32</v>
      </c>
      <c r="M9" s="1" t="s">
        <v>31</v>
      </c>
    </row>
    <row r="10" spans="1:15" x14ac:dyDescent="0.3">
      <c r="J10" s="2" t="s">
        <v>30</v>
      </c>
      <c r="K10" s="1" t="str">
        <f>HLOOKUP(HLOOKUP(K9,B2:F4,2,0),A8:F9,2,0)</f>
        <v>Dr.Kumar</v>
      </c>
      <c r="L10" s="1" t="str">
        <f>HLOOKUP(HLOOKUP(L9,C2:G4,2,0),B8:G9,2,0)</f>
        <v>Dr.Patil</v>
      </c>
      <c r="M10" s="1" t="str">
        <f>HLOOKUP(HLOOKUP(M9,D2:G4,2,0),C8:H9,2,0)</f>
        <v>Dr.Khan</v>
      </c>
    </row>
    <row r="12" spans="1:15" ht="22.8" x14ac:dyDescent="0.3">
      <c r="A12" s="5" t="s">
        <v>29</v>
      </c>
      <c r="B12" s="5"/>
      <c r="C12" s="5"/>
      <c r="D12" s="5"/>
      <c r="E12" s="5"/>
      <c r="F12" s="5"/>
      <c r="I12" s="4" t="s">
        <v>28</v>
      </c>
      <c r="J12" s="4"/>
      <c r="K12" s="4"/>
      <c r="L12" s="4"/>
      <c r="M12" s="4"/>
      <c r="N12" s="4"/>
    </row>
    <row r="13" spans="1:15" ht="22.8" x14ac:dyDescent="0.3">
      <c r="A13" s="2" t="s">
        <v>27</v>
      </c>
      <c r="B13" s="1" t="s">
        <v>26</v>
      </c>
      <c r="C13" s="1" t="s">
        <v>25</v>
      </c>
      <c r="D13" s="1" t="s">
        <v>24</v>
      </c>
      <c r="E13" s="1" t="s">
        <v>23</v>
      </c>
      <c r="F13" s="1" t="s">
        <v>22</v>
      </c>
      <c r="J13" s="3" t="s">
        <v>8</v>
      </c>
      <c r="K13" s="3"/>
      <c r="L13" s="3"/>
      <c r="M13" s="3"/>
    </row>
    <row r="14" spans="1:15" x14ac:dyDescent="0.3">
      <c r="A14" s="2" t="s">
        <v>7</v>
      </c>
      <c r="B14" s="1" t="s">
        <v>6</v>
      </c>
      <c r="C14" s="1" t="s">
        <v>21</v>
      </c>
      <c r="D14" s="1" t="s">
        <v>5</v>
      </c>
      <c r="E14" s="1" t="s">
        <v>20</v>
      </c>
      <c r="F14" s="1" t="s">
        <v>4</v>
      </c>
      <c r="J14" s="2" t="s">
        <v>19</v>
      </c>
      <c r="K14" s="1" t="s">
        <v>18</v>
      </c>
      <c r="L14" s="1" t="s">
        <v>17</v>
      </c>
      <c r="M14" s="1" t="s">
        <v>16</v>
      </c>
    </row>
    <row r="15" spans="1:15" x14ac:dyDescent="0.3">
      <c r="A15" s="2" t="s">
        <v>13</v>
      </c>
      <c r="B15" s="1" t="s">
        <v>6</v>
      </c>
      <c r="C15" s="1" t="s">
        <v>12</v>
      </c>
      <c r="D15" s="1" t="s">
        <v>11</v>
      </c>
      <c r="E15" s="1" t="s">
        <v>10</v>
      </c>
      <c r="F15" s="1" t="s">
        <v>9</v>
      </c>
      <c r="J15" s="2" t="s">
        <v>13</v>
      </c>
      <c r="K15" s="1" t="str">
        <f>HLOOKUP(HLOOKUP(K14,A8:F9,2,0),A13:F15,3,0)</f>
        <v>Computer_Science</v>
      </c>
      <c r="L15" s="1" t="str">
        <f>HLOOKUP(HLOOKUP(L14,B8:G9,2,0),B13:G15,3,0)</f>
        <v>Mechanical_Design</v>
      </c>
      <c r="M15" s="1" t="str">
        <f>HLOOKUP(HLOOKUP(M14,C8:H9,2,0),C13:H15,3,0)</f>
        <v>Data_Science</v>
      </c>
    </row>
    <row r="18" spans="1:14" ht="22.8" x14ac:dyDescent="0.3">
      <c r="A18" s="5" t="s">
        <v>15</v>
      </c>
      <c r="B18" s="5"/>
      <c r="C18" s="5"/>
      <c r="D18" s="5"/>
      <c r="E18" s="5"/>
      <c r="F18" s="5"/>
      <c r="I18" s="4" t="s">
        <v>14</v>
      </c>
      <c r="J18" s="4"/>
      <c r="K18" s="4"/>
      <c r="L18" s="4"/>
      <c r="M18" s="4"/>
      <c r="N18" s="4"/>
    </row>
    <row r="19" spans="1:14" ht="22.8" x14ac:dyDescent="0.3">
      <c r="A19" s="2" t="s">
        <v>13</v>
      </c>
      <c r="B19" s="1" t="s">
        <v>6</v>
      </c>
      <c r="C19" s="1" t="s">
        <v>12</v>
      </c>
      <c r="D19" s="1" t="s">
        <v>11</v>
      </c>
      <c r="E19" s="1" t="s">
        <v>10</v>
      </c>
      <c r="F19" s="1" t="s">
        <v>9</v>
      </c>
      <c r="J19" s="3" t="s">
        <v>8</v>
      </c>
      <c r="K19" s="3"/>
      <c r="L19" s="3"/>
      <c r="M19" s="3"/>
    </row>
    <row r="20" spans="1:14" x14ac:dyDescent="0.3">
      <c r="A20" s="2" t="s">
        <v>0</v>
      </c>
      <c r="B20" s="1">
        <v>140</v>
      </c>
      <c r="C20" s="1">
        <v>150</v>
      </c>
      <c r="D20" s="1">
        <v>160</v>
      </c>
      <c r="E20" s="1">
        <v>170</v>
      </c>
      <c r="F20" s="1">
        <v>120</v>
      </c>
      <c r="J20" s="2" t="s">
        <v>7</v>
      </c>
      <c r="K20" s="1" t="s">
        <v>6</v>
      </c>
      <c r="L20" s="1" t="s">
        <v>5</v>
      </c>
      <c r="M20" s="1" t="s">
        <v>4</v>
      </c>
    </row>
    <row r="21" spans="1:14" x14ac:dyDescent="0.3">
      <c r="A21" s="2" t="s">
        <v>3</v>
      </c>
      <c r="B21" s="1" t="s">
        <v>2</v>
      </c>
      <c r="C21" s="1" t="s">
        <v>2</v>
      </c>
      <c r="D21" s="1" t="s">
        <v>2</v>
      </c>
      <c r="E21" s="1" t="s">
        <v>2</v>
      </c>
      <c r="F21" s="1" t="s">
        <v>1</v>
      </c>
      <c r="J21" s="2" t="s">
        <v>0</v>
      </c>
      <c r="K21" s="1">
        <f>HLOOKUP(HLOOKUP(K20,A14:F15,2,0),A19:F21,2,0)</f>
        <v>140</v>
      </c>
      <c r="L21" s="1">
        <f>HLOOKUP(HLOOKUP(L20,B14:G15,2,0),B19:G21,2,0)</f>
        <v>160</v>
      </c>
      <c r="M21" s="1">
        <f>HLOOKUP(HLOOKUP(M20,C14:H15,2,0),C19:H21,2,0)</f>
        <v>120</v>
      </c>
    </row>
  </sheetData>
  <mergeCells count="12">
    <mergeCell ref="I12:N12"/>
    <mergeCell ref="J13:M13"/>
    <mergeCell ref="I18:N18"/>
    <mergeCell ref="J19:M19"/>
    <mergeCell ref="H1:O1"/>
    <mergeCell ref="A7:F7"/>
    <mergeCell ref="A12:F12"/>
    <mergeCell ref="A18:F18"/>
    <mergeCell ref="A1:F1"/>
    <mergeCell ref="J2:M2"/>
    <mergeCell ref="I7:N7"/>
    <mergeCell ref="J8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Vlookup_Sheet</vt:lpstr>
      <vt:lpstr>Hlookup_Sheet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Adesh Kumar Singh</dc:creator>
  <cp:lastModifiedBy>Adesh Kumar Singh</cp:lastModifiedBy>
  <dcterms:created xsi:type="dcterms:W3CDTF">2025-11-12T19:17:01Z</dcterms:created>
  <dcterms:modified xsi:type="dcterms:W3CDTF">2025-11-12T19:21:56Z</dcterms:modified>
</cp:coreProperties>
</file>